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621355d2f49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ésumé" sheetId="1" r:id="R0ab3b79cb720468d"/>
    <x:sheet xmlns:r="http://schemas.openxmlformats.org/officeDocument/2006/relationships" name="Tarifs" sheetId="2" r:id="R8fa8d2c9b2044ae6"/>
    <x:sheet xmlns:r="http://schemas.openxmlformats.org/officeDocument/2006/relationships" name="Profils" sheetId="3" r:id="Rd353d504ee1949f3"/>
    <x:sheet xmlns:r="http://schemas.openxmlformats.org/officeDocument/2006/relationships" name="Gares" sheetId="4" r:id="Red622fbade7a47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&quot;€&quot;#,##0.00"/>
    <x:numFmt numFmtId="201" formatCode="0"/>
  </x:numFmts>
  <x:fonts count="5">
    <x:font>
      <x:sz val="11"/>
      <x:name val="Carlito"/>
    </x:font>
    <x:font>
      <x:b/>
      <x:sz val="17"/>
      <x:color rgb="FFFFFFFF"/>
      <x:name val="Carlito"/>
    </x:font>
    <x:font>
      <x:i/>
      <x:sz val="11"/>
      <x:color rgb="FF2E2330"/>
      <x:name val="Carlito"/>
    </x:font>
    <x:font>
      <x:b/>
      <x:sz val="11"/>
      <x:color rgb="FFFFFFFF"/>
      <x:name val="Carlito"/>
    </x:font>
    <x:font>
      <x:b/>
      <x:sz val="11"/>
      <x:color rgb="FFE2231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6E1E73"/>
      </x:patternFill>
    </x:fill>
    <x:fill>
      <x:patternFill patternType="solid">
        <x:fgColor rgb="FFF7ECF4"/>
      </x:patternFill>
    </x:fill>
    <x:fill>
      <x:patternFill patternType="solid">
        <x:fgColor rgb="FFB11D72"/>
      </x:patternFill>
    </x:fill>
    <x:fill>
      <x:patternFill patternType="solid">
        <x:fgColor rgb="FFF4F4F6"/>
      </x:patternFill>
    </x:fill>
    <x:fill>
      <x:patternFill patternType="solid">
        <x:fgColor rgb="FFFBE9EC"/>
      </x:patternFill>
    </x:fill>
  </x:fills>
  <x:borders count="15">
    <x:border/>
    <x:border>
      <x:left style="thin">
        <x:color rgb="FF6E1E73"/>
      </x:left>
      <x:top style="thin">
        <x:color rgb="FF6E1E73"/>
      </x:top>
      <x:bottom style="thin">
        <x:color rgb="FF6E1E73"/>
      </x:bottom>
    </x:border>
    <x:border>
      <x:right style="thin">
        <x:color rgb="FF6E1E73"/>
      </x:right>
      <x:top style="thin">
        <x:color rgb="FF6E1E73"/>
      </x:top>
      <x:bottom style="thin">
        <x:color rgb="FF6E1E73"/>
      </x:bottom>
    </x:border>
    <x:border>
      <x:bottom style="thin">
        <x:color rgb="FFD9C6D5"/>
      </x:bottom>
    </x:border>
    <x:border>
      <x:top style="thin">
        <x:color rgb="FFD9C6D5"/>
      </x:top>
      <x:bottom style="thin">
        <x:color rgb="FFD9C6D5"/>
      </x:bottom>
    </x:border>
    <x:border>
      <x:top style="thin">
        <x:color rgb="FF6E1E73"/>
      </x:top>
      <x:bottom style="thin">
        <x:color rgb="FF6E1E73"/>
      </x:bottom>
    </x:border>
    <x:border>
      <x:left style="thin">
        <x:color rgb="FF6E1E73"/>
      </x:left>
      <x:right style="thin">
        <x:color rgb="FF6E1E73"/>
      </x:right>
      <x:top style="thin">
        <x:color rgb="FF6E1E73"/>
      </x:top>
      <x:bottom style="thin">
        <x:color rgb="FF6E1E73"/>
      </x:bottom>
    </x:border>
    <x:border>
      <x:left style="thin">
        <x:color rgb="FFD9C6D5"/>
      </x:left>
      <x:top style="thin">
        <x:color rgb="FFD9C6D5"/>
      </x:top>
    </x:border>
    <x:border>
      <x:top style="thin">
        <x:color rgb="FFD9C6D5"/>
      </x:top>
    </x:border>
    <x:border>
      <x:right style="thin">
        <x:color rgb="FFD9C6D5"/>
      </x:right>
      <x:top style="thin">
        <x:color rgb="FFD9C6D5"/>
      </x:top>
    </x:border>
    <x:border>
      <x:left style="thin">
        <x:color rgb="FFD9C6D5"/>
      </x:left>
      <x:bottom style="thin">
        <x:color rgb="FFD9C6D5"/>
      </x:bottom>
    </x:border>
    <x:border>
      <x:right style="thin">
        <x:color rgb="FFD9C6D5"/>
      </x:right>
      <x:bottom style="thin">
        <x:color rgb="FFD9C6D5"/>
      </x:bottom>
    </x:border>
    <x:border>
      <x:bottom style="thin">
        <x:color rgb="FFE8E1E7"/>
      </x:bottom>
    </x:border>
    <x:border>
      <x:top style="thin">
        <x:color rgb="FFE8E1E7"/>
      </x:top>
      <x:bottom style="thin">
        <x:color rgb="FFE8E1E7"/>
      </x:bottom>
    </x:border>
    <x:border>
      <x:top style="thin">
        <x:color rgb="FFE8E1E7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7" xfId="0" applyNumberFormat="1" applyFont="1" applyFill="1" applyBorder="1"/>
    <x:xf numFmtId="0" fontId="2" fillId="5" borderId="8" xfId="0" applyNumberFormat="1" applyFont="1" applyFill="1" applyBorder="1"/>
    <x:xf numFmtId="0" fontId="2" fillId="5" borderId="9" xfId="0" applyNumberFormat="1" applyFont="1" applyFill="1" applyBorder="1"/>
    <x:xf numFmtId="0" fontId="2" fillId="5" borderId="10" xfId="0" applyNumberFormat="1" applyFont="1" applyFill="1" applyBorder="1"/>
    <x:xf numFmtId="0" fontId="2" fillId="5" borderId="3" xfId="0" applyNumberFormat="1" applyFont="1" applyFill="1" applyBorder="1"/>
    <x:xf numFmtId="0" fontId="2" fillId="5" borderId="11" xfId="0" applyNumberFormat="1" applyFont="1" applyFill="1" applyBorder="1"/>
    <x:xf numFmtId="0" fontId="2" fillId="5" borderId="7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5" borderId="9" xfId="0" applyNumberFormat="1" applyFont="1" applyFill="1" applyBorder="1" applyAlignment="1">
      <x:alignment wrapText="1"/>
    </x:xf>
    <x:xf numFmtId="0" fontId="2" fillId="5" borderId="10" xfId="0" applyNumberFormat="1" applyFont="1" applyFill="1" applyBorder="1" applyAlignment="1">
      <x:alignment wrapText="1"/>
    </x:xf>
    <x:xf numFmtId="0" fontId="2" fillId="5" borderId="3" xfId="0" applyNumberFormat="1" applyFont="1" applyFill="1" applyBorder="1" applyAlignment="1">
      <x:alignment wrapText="1"/>
    </x:xf>
    <x:xf numFmtId="0" fontId="2" fillId="5" borderId="11" xfId="0" applyNumberFormat="1" applyFont="1" applyFill="1" applyBorder="1" applyAlignment="1">
      <x:alignment wrapText="1"/>
    </x:xf>
    <x:xf numFmtId="0" fontId="2" fillId="5" borderId="7" xfId="0" applyNumberFormat="1" applyFont="1" applyFill="1" applyBorder="1" applyAlignment="1">
      <x:alignment vertical="center" wrapText="1"/>
    </x:xf>
    <x:xf numFmtId="0" fontId="2" fillId="5" borderId="8" xfId="0" applyNumberFormat="1" applyFont="1" applyFill="1" applyBorder="1" applyAlignment="1">
      <x:alignment vertical="center" wrapText="1"/>
    </x:xf>
    <x:xf numFmtId="0" fontId="2" fillId="5" borderId="9" xfId="0" applyNumberFormat="1" applyFont="1" applyFill="1" applyBorder="1" applyAlignment="1">
      <x:alignment vertical="center" wrapText="1"/>
    </x:xf>
    <x:xf numFmtId="0" fontId="2" fillId="5" borderId="10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2" fillId="5" borderId="1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12" xfId="0" applyNumberFormat="1" applyFont="1" applyFill="1" applyBorder="1"/>
    <x:xf numFmtId="201" fontId="0" fillId="0" borderId="12" xfId="0" applyNumberFormat="1" applyFont="1" applyFill="1" applyBorder="1"/>
    <x:xf numFmtId="200" fontId="0" fillId="0" borderId="12" xfId="0" applyNumberFormat="1" applyFont="1" applyFill="1" applyBorder="1"/>
    <x:xf numFmtId="0" fontId="0" fillId="0" borderId="13" xfId="0" applyNumberFormat="1" applyFont="1" applyFill="1" applyBorder="1"/>
    <x:xf numFmtId="201" fontId="0" fillId="0" borderId="13" xfId="0" applyNumberFormat="1" applyFont="1" applyFill="1" applyBorder="1"/>
    <x:xf numFmtId="200" fontId="0" fillId="0" borderId="13" xfId="0" applyNumberFormat="1" applyFont="1" applyFill="1" applyBorder="1"/>
    <x:xf numFmtId="0" fontId="0" fillId="0" borderId="14" xfId="0" applyNumberFormat="1" applyFont="1" applyFill="1" applyBorder="1"/>
    <x:xf numFmtId="201" fontId="0" fillId="0" borderId="14" xfId="0" applyNumberFormat="1" applyFont="1" applyFill="1" applyBorder="1"/>
    <x:xf numFmtId="200" fontId="0" fillId="0" borderId="14" xfId="0" applyNumberFormat="1" applyFont="1" applyFill="1" applyBorder="1"/>
    <x:xf numFmtId="200" fontId="0" fillId="6" borderId="12" xfId="0" applyNumberFormat="1" applyFont="1" applyFill="1" applyBorder="1"/>
    <x:xf numFmtId="200" fontId="0" fillId="6" borderId="13" xfId="0" applyNumberFormat="1" applyFont="1" applyFill="1" applyBorder="1"/>
    <x:xf numFmtId="200" fontId="0" fillId="6" borderId="14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4" fillId="6" borderId="14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c0c491603d4055" /><Relationship Type="http://schemas.openxmlformats.org/officeDocument/2006/relationships/theme" Target="/xl/theme/theme1.xml" Id="Rec313814903349ef" /><Relationship Type="http://schemas.openxmlformats.org/officeDocument/2006/relationships/sharedStrings" Target="/xl/sharedStrings.xml" Id="Rc7e17fd0e0794a0b" /><Relationship Type="http://schemas.openxmlformats.org/officeDocument/2006/relationships/worksheet" Target="/xl/worksheets/sheet1.xml" Id="R0ab3b79cb720468d" /><Relationship Type="http://schemas.openxmlformats.org/officeDocument/2006/relationships/worksheet" Target="/xl/worksheets/sheet2.xml" Id="R8fa8d2c9b2044ae6" /><Relationship Type="http://schemas.openxmlformats.org/officeDocument/2006/relationships/worksheet" Target="/xl/worksheets/sheet3.xml" Id="Rd353d504ee1949f3" /><Relationship Type="http://schemas.openxmlformats.org/officeDocument/2006/relationships/worksheet" Target="/xl/worksheets/sheet4.xml" Id="Red622fbade7a4790" /></Relationships>
</file>

<file path=xl/tables/table1.xml><?xml version="1.0" encoding="utf-8"?>
<x:table xmlns:x="http://schemas.openxmlformats.org/spreadsheetml/2006/main" id="1" name="TarifsTable" displayName="TarifsTable" ref="A4:J688" headerRowCount="1" totalsRowCount="0" totalsRowShown="0">
  <x:tableColumns count="10">
    <x:tableColumn id="1" name="Départ"/>
    <x:tableColumn id="2" name="Arrivée"/>
    <x:tableColumn id="3" name="Distance (km)"/>
    <x:tableColumn id="4" name="Voyageur"/>
    <x:tableColumn id="5" name="Profil / carte"/>
    <x:tableColumn id="6" name="Prix 2de (€)"/>
    <x:tableColumn id="7" name="Prix 1re (€)"/>
    <x:tableColumn id="8" name="Surclassement (€)"/>
    <x:tableColumn id="9" name="Identifiant profil"/>
    <x:tableColumn id="10" name="Clé rel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e79b8d875847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" hidden="0" customWidth="1"/>
    <x:col min="2" max="2" width="70" hidden="0" customWidth="1"/>
    <x:col min="3" max="3" width="16" hidden="0" customWidth="1"/>
    <x:col min="4" max="4" width="14" hidden="0" customWidth="1"/>
  </x:cols>
  <x:sheetData>
    <x:row r="1" ht="32" customHeight="1">
      <x:c r="A1" s="3" t="str">
        <x:v>Base tarifaire — Surclassement KRONO +</x:v>
      </x:c>
      <x:c r="B1" s="3" t="str">
        <x:v>Base tarifaire — Surclassement KRONO +</x:v>
      </x:c>
      <x:c r="C1" s="3" t="str">
        <x:v>Base tarifaire — Surclassement KRONO +</x:v>
      </x:c>
      <x:c r="D1" s="3" t="str">
        <x:v>Base tarifaire — Surclassement KRONO +</x:v>
      </x:c>
    </x:row>
    <x:row r="2" ht="30" customHeight="1">
      <x:c r="A2" s="7" t="str">
        <x:v>Export fidèle de la source utilisée par la version finale publiée de l’application.</x:v>
      </x:c>
      <x:c r="B2" s="7" t="str">
        <x:v>Export fidèle de la source utilisée par la version finale publiée de l’application.</x:v>
      </x:c>
      <x:c r="C2" s="7" t="str">
        <x:v>Export fidèle de la source utilisée par la version finale publiée de l’application.</x:v>
      </x:c>
      <x:c r="D2" s="7" t="str">
        <x:v>Export fidèle de la source utilisée par la version finale publiée de l’application.</x:v>
      </x:c>
    </x:row>
    <x:row r="4" ht="30" customHeight="1">
      <x:c r="A4" s="14" t="str">
        <x:v>Indicateur</x:v>
      </x:c>
      <x:c r="B4" s="15" t="str">
        <x:v>Valeur</x:v>
      </x:c>
    </x:row>
    <x:row r="5">
      <x:c r="A5" s="16" t="str">
        <x:v>Année tarifaire</x:v>
      </x:c>
      <x:c r="B5" s="16" t="n">
        <x:v>2026</x:v>
      </x:c>
    </x:row>
    <x:row r="6">
      <x:c r="A6" s="17" t="str">
        <x:v>Version des données</x:v>
      </x:c>
      <x:c r="B6" s="17" t="str">
        <x:v>2026-08-24</x:v>
      </x:c>
    </x:row>
    <x:row r="7">
      <x:c r="A7" s="17" t="str">
        <x:v>Révision</x:v>
      </x:c>
      <x:c r="B7" s="17" t="n">
        <x:v>6</x:v>
      </x:c>
    </x:row>
    <x:row r="8">
      <x:c r="A8" s="17" t="str">
        <x:v>Nombre de gares</x:v>
      </x:c>
      <x:c r="B8" s="17" t="n">
        <x:f>COUNTA('Gares'!$A$5:$A$13)</x:f>
        <x:v>9</x:v>
      </x:c>
    </x:row>
    <x:row r="9">
      <x:c r="A9" s="17" t="str">
        <x:v>Nombre de profils</x:v>
      </x:c>
      <x:c r="B9" s="17" t="n">
        <x:f>COUNTA('Profils'!$A$5:$A$23)</x:f>
        <x:v>19</x:v>
      </x:c>
    </x:row>
    <x:row r="10">
      <x:c r="A10" s="17" t="str">
        <x:v>Nombre de relations</x:v>
      </x:c>
      <x:c r="B10" s="17" t="n">
        <x:f>COUNTA('Tarifs'!$A$5:$A$688)/B9</x:f>
        <x:v>36</x:v>
      </x:c>
    </x:row>
    <x:row r="11">
      <x:c r="A11" s="17" t="str">
        <x:v>Nombre de lignes tarifaires</x:v>
      </x:c>
      <x:c r="B11" s="17" t="n">
        <x:f>COUNTA('Tarifs'!$A$5:$A$688)</x:f>
        <x:v>684</x:v>
      </x:c>
    </x:row>
    <x:row r="12">
      <x:c r="A12" s="17" t="str">
        <x:v>Nombre de montants de classe</x:v>
      </x:c>
      <x:c r="B12" s="17" t="n">
        <x:f>B11*2</x:f>
        <x:v>1368</x:v>
      </x:c>
    </x:row>
    <x:row r="14" ht="30" customHeight="1">
      <x:c r="A14" s="14" t="str">
        <x:v>Source</x:v>
      </x:c>
      <x:c r="B14" s="20" t="str">
        <x:v>URL</x:v>
      </x:c>
      <x:c r="C14" s="15" t="str">
        <x:v>Vérifiée le</x:v>
      </x:c>
    </x:row>
    <x:row r="15">
      <x:c r="A15" s="21" t="str">
        <x:v>SNCF Connect — simulations tarifaires TER</x:v>
      </x:c>
      <x:c r="B15" s="21" t="str">
        <x:v>https://www.sncf-connect.com/home/search</x:v>
      </x:c>
      <x:c r="C15" s="21" t="str">
        <x:v>2026-08-24</x:v>
      </x:c>
    </x:row>
    <x:row r="16">
      <x:c r="A16" s="21" t="str">
        <x:v>SNCF Connect — tarifs spéciaux SNCF</x:v>
      </x:c>
      <x:c r="B16" s="21" t="str">
        <x:v>https://www.sncf-connect.com/fr-fr/aide/les-tarifs-speciaux-sncf</x:v>
      </x:c>
      <x:c r="C16" s="21" t="str">
        <x:v>2026-08-24</x:v>
      </x:c>
    </x:row>
    <x:row r="17">
      <x:c r="A17" s="21" t="str">
        <x:v>TER Auvergne-Rhône-Alpes — carte illico LIBERTÉ et accompagnants</x:v>
      </x:c>
      <x:c r="B17" s="21" t="str">
        <x:v>https://www.ter.sncf.com/auvergne-rhone-alpes/tarifs-cartes/cartes-reduction/illico-liberte</x:v>
      </x:c>
      <x:c r="C17" s="21" t="str">
        <x:v>2026-08-24</x:v>
      </x:c>
    </x:row>
    <x:row r="18">
      <x:c r="A18" s="21" t="str">
        <x:v>TER Auvergne-Rhône-Alpes — illico LIBERTÉ JEUNES</x:v>
      </x:c>
      <x:c r="B18" s="21" t="str">
        <x:v>https://www.ter.sncf.com/auvergne-rhone-alpes/tarifs-cartes/cartes-reduction/illico-liberte-jeunes</x:v>
      </x:c>
      <x:c r="C18" s="21" t="str">
        <x:v>2026-08-24</x:v>
      </x:c>
    </x:row>
    <x:row r="20" ht="30" customHeight="1">
      <x:c r="A20" s="24" t="str">
        <x:v>Règles de contrôle incluses</x:v>
      </x:c>
    </x:row>
    <x:row r="21">
      <x:c r="A21" s="21" t="str">
        <x:v>Deux montants positifs par profil et par relation</x:v>
      </x:c>
    </x:row>
    <x:row r="22">
      <x:c r="A22" s="21" t="str">
        <x:v>Tarif 1re supérieur ou égal au tarif 2de</x:v>
      </x:c>
    </x:row>
    <x:row r="23">
      <x:c r="A23" s="21" t="str">
        <x:v>Plancher de perception enfant réduit fixé à 1,20 €</x:v>
      </x:c>
    </x:row>
    <x:row r="24">
      <x:c r="A24" s="21" t="str">
        <x:v>Carte Militaire 1re et 2de fusionnées dans un profil unique</x:v>
      </x:c>
    </x:row>
    <x:row r="25">
      <x:c r="A25" s="21" t="str">
        <x:v>Tarif adulte accompagnant illico LIBERTÉ identique au tarif du porteur le week-end</x:v>
      </x:c>
    </x:row>
    <x:row r="26">
      <x:c r="A26" s="21" t="str">
        <x:v>Aucun profil illico LIBERTÉ JEUNES proposé aux enfants de 4 à 11 ans</x:v>
      </x:c>
    </x:row>
    <x:row r="27">
      <x:c r="A27" s="21" t="str">
        <x:v>Résultats identiques dans les deux sens de circulation</x:v>
      </x:c>
    </x:row>
    <x:row r="30">
      <x:c r="A30" s="39" t="str">
        <x:v>Source technique faisant foi : public/tarifs-base.json. Les montants sont symétriques dans les deux sens de circulation.</x:v>
      </x:c>
      <x:c r="B30" s="40" t="str">
        <x:v>Source technique faisant foi : public/tarifs-base.json. Les montants sont symétriques dans les deux sens de circulation.</x:v>
      </x:c>
      <x:c r="C30" s="40" t="str">
        <x:v>Source technique faisant foi : public/tarifs-base.json. Les montants sont symétriques dans les deux sens de circulation.</x:v>
      </x:c>
      <x:c r="D30" s="41" t="str">
        <x:v>Source technique faisant foi : public/tarifs-base.json. Les montants sont symétriques dans les deux sens de circulation.</x:v>
      </x:c>
    </x:row>
    <x:row r="31">
      <x:c r="A31" s="42" t="str">
        <x:v>Source technique faisant foi : public/tarifs-base.json. Les montants sont symétriques dans les deux sens de circulation.</x:v>
      </x:c>
      <x:c r="B31" s="43" t="str">
        <x:v>Source technique faisant foi : public/tarifs-base.json. Les montants sont symétriques dans les deux sens de circulation.</x:v>
      </x:c>
      <x:c r="C31" s="43" t="str">
        <x:v>Source technique faisant foi : public/tarifs-base.json. Les montants sont symétriques dans les deux sens de circulation.</x:v>
      </x:c>
      <x:c r="D31" s="44" t="str">
        <x:v>Source technique faisant foi : public/tarifs-base.json. Les montants sont symétriques dans les deux sens de circulation.</x:v>
      </x:c>
    </x:row>
  </x:sheetData>
  <x:mergeCells>
    <x:mergeCell ref="A1:D1"/>
    <x:mergeCell ref="A2:D2"/>
    <x:mergeCell ref="A30:D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8" hidden="0" customWidth="1"/>
    <x:col min="5" max="5" width="52" hidden="0" customWidth="1"/>
    <x:col min="6" max="6" width="18" hidden="0" customWidth="1"/>
    <x:col min="7" max="7" width="18" hidden="0" customWidth="1"/>
    <x:col min="8" max="8" width="18" hidden="0" customWidth="1"/>
    <x:col min="9" max="9" width="45" hidden="0" customWidth="1"/>
    <x:col min="10" max="10" width="52" hidden="0" customWidth="1"/>
  </x:cols>
  <x:sheetData>
    <x:row r="1" ht="32" customHeight="1">
      <x:c r="A1" s="3" t="str">
        <x:v>Tarifs TER 2026 — 36 relations × 19 profils</x:v>
      </x:c>
      <x:c r="B1" s="3" t="str">
        <x:v>Tarifs TER 2026 — 36 relations × 19 profils</x:v>
      </x:c>
      <x:c r="C1" s="3" t="str">
        <x:v>Tarifs TER 2026 — 36 relations × 19 profils</x:v>
      </x:c>
      <x:c r="D1" s="3" t="str">
        <x:v>Tarifs TER 2026 — 36 relations × 19 profils</x:v>
      </x:c>
      <x:c r="E1" s="3" t="str">
        <x:v>Tarifs TER 2026 — 36 relations × 19 profils</x:v>
      </x:c>
      <x:c r="F1" s="3" t="str">
        <x:v>Tarifs TER 2026 — 36 relations × 19 profils</x:v>
      </x:c>
      <x:c r="G1" s="3" t="str">
        <x:v>Tarifs TER 2026 — 36 relations × 19 profils</x:v>
      </x:c>
      <x:c r="H1" s="3" t="str">
        <x:v>Tarifs TER 2026 — 36 relations × 19 profils</x:v>
      </x:c>
      <x:c r="I1" s="3" t="str">
        <x:v>Tarifs TER 2026 — 36 relations × 19 profils</x:v>
      </x:c>
      <x:c r="J1" s="3" t="str">
        <x:v>Tarifs TER 2026 — 36 relations × 19 profils</x:v>
      </x:c>
    </x:row>
    <x:row r="2" ht="30" customHeight="1">
      <x:c r="A2" s="7" t="str">
        <x:v>Prix exprimés en euros. La colonne Surclassement est calculée automatiquement : Prix 1re − Prix 2de.</x:v>
      </x:c>
      <x:c r="B2" s="7" t="str">
        <x:v>Prix exprimés en euros. La colonne Surclassement est calculée automatiquement : Prix 1re − Prix 2de.</x:v>
      </x:c>
      <x:c r="C2" s="7" t="str">
        <x:v>Prix exprimés en euros. La colonne Surclassement est calculée automatiquement : Prix 1re − Prix 2de.</x:v>
      </x:c>
      <x:c r="D2" s="7" t="str">
        <x:v>Prix exprimés en euros. La colonne Surclassement est calculée automatiquement : Prix 1re − Prix 2de.</x:v>
      </x:c>
      <x:c r="E2" s="7" t="str">
        <x:v>Prix exprimés en euros. La colonne Surclassement est calculée automatiquement : Prix 1re − Prix 2de.</x:v>
      </x:c>
      <x:c r="F2" s="7" t="str">
        <x:v>Prix exprimés en euros. La colonne Surclassement est calculée automatiquement : Prix 1re − Prix 2de.</x:v>
      </x:c>
      <x:c r="G2" s="7" t="str">
        <x:v>Prix exprimés en euros. La colonne Surclassement est calculée automatiquement : Prix 1re − Prix 2de.</x:v>
      </x:c>
      <x:c r="H2" s="7" t="str">
        <x:v>Prix exprimés en euros. La colonne Surclassement est calculée automatiquement : Prix 1re − Prix 2de.</x:v>
      </x:c>
      <x:c r="I2" s="7" t="str">
        <x:v>Prix exprimés en euros. La colonne Surclassement est calculée automatiquement : Prix 1re − Prix 2de.</x:v>
      </x:c>
      <x:c r="J2" s="7" t="str">
        <x:v>Prix exprimés en euros. La colonne Surclassement est calculée automatiquement : Prix 1re − Prix 2de.</x:v>
      </x:c>
    </x:row>
    <x:row r="4" ht="30" customHeight="1">
      <x:c r="A4" s="14" t="str">
        <x:v>Départ</x:v>
      </x:c>
      <x:c r="B4" s="20" t="str">
        <x:v>Arrivée</x:v>
      </x:c>
      <x:c r="C4" s="20" t="str">
        <x:v>Distance (km)</x:v>
      </x:c>
      <x:c r="D4" s="20" t="str">
        <x:v>Voyageur</x:v>
      </x:c>
      <x:c r="E4" s="20" t="str">
        <x:v>Profil / carte</x:v>
      </x:c>
      <x:c r="F4" s="20" t="str">
        <x:v>Prix 2de (€)</x:v>
      </x:c>
      <x:c r="G4" s="20" t="str">
        <x:v>Prix 1re (€)</x:v>
      </x:c>
      <x:c r="H4" s="20" t="str">
        <x:v>Surclassement (€)</x:v>
      </x:c>
      <x:c r="I4" s="20" t="str">
        <x:v>Identifiant profil</x:v>
      </x:c>
      <x:c r="J4" s="15" t="str">
        <x:v>Clé relation</x:v>
      </x:c>
    </x:row>
    <x:row r="5">
      <x:c r="A5" s="47" t="str">
        <x:v>Lyon Part-Dieu</x:v>
      </x:c>
      <x:c r="B5" s="47" t="str">
        <x:v>Meximieux – Pérouges</x:v>
      </x:c>
      <x:c r="C5" s="48" t="n">
        <x:v>33</x:v>
      </x:c>
      <x:c r="D5" s="47" t="str">
        <x:v>Adulte</x:v>
      </x:c>
      <x:c r="E5" s="47" t="str">
        <x:v>Aucune — Plein tarif</x:v>
      </x:c>
      <x:c r="F5" s="49" t="n">
        <x:v>9.6</x:v>
      </x:c>
      <x:c r="G5" s="49" t="n">
        <x:v>14.6</x:v>
      </x:c>
      <x:c r="H5" s="59" t="n">
        <x:f>G5-F5</x:f>
        <x:v>5</x:v>
      </x:c>
      <x:c r="I5" s="47" t="str">
        <x:v>adult-none</x:v>
      </x:c>
      <x:c r="J5" s="47" t="str">
        <x:v>lyon-part-dieu|meximieux-perouges</x:v>
      </x:c>
    </x:row>
    <x:row r="6">
      <x:c r="A6" s="50" t="str">
        <x:v>Lyon Part-Dieu</x:v>
      </x:c>
      <x:c r="B6" s="50" t="str">
        <x:v>Meximieux – Pérouges</x:v>
      </x:c>
      <x:c r="C6" s="51" t="n">
        <x:v>33</x:v>
      </x:c>
      <x:c r="D6" s="50" t="str">
        <x:v>Adulte</x:v>
      </x:c>
      <x:c r="E6" s="50" t="str">
        <x:v>illico LIBERTÉ — Semaine (-25 %)</x:v>
      </x:c>
      <x:c r="F6" s="52" t="n">
        <x:v>7.2</x:v>
      </x:c>
      <x:c r="G6" s="52" t="n">
        <x:v>11</x:v>
      </x:c>
      <x:c r="H6" s="60" t="n">
        <x:f>G6-F6</x:f>
        <x:v>3.8</x:v>
      </x:c>
      <x:c r="I6" s="50" t="str">
        <x:v>adult-illico-liberte-weekday</x:v>
      </x:c>
      <x:c r="J6" s="50" t="str">
        <x:v>lyon-part-dieu|meximieux-perouges</x:v>
      </x:c>
    </x:row>
    <x:row r="7">
      <x:c r="A7" s="50" t="str">
        <x:v>Lyon Part-Dieu</x:v>
      </x:c>
      <x:c r="B7" s="50" t="str">
        <x:v>Meximieux – Pérouges</x:v>
      </x:c>
      <x:c r="C7" s="51" t="n">
        <x:v>33</x:v>
      </x:c>
      <x:c r="D7" s="50" t="str">
        <x:v>Adulte</x:v>
      </x:c>
      <x:c r="E7" s="50" t="str">
        <x:v>illico LIBERTÉ — Week-end / Jour férié (-50 %)</x:v>
      </x:c>
      <x:c r="F7" s="52" t="n">
        <x:v>4.8</x:v>
      </x:c>
      <x:c r="G7" s="52" t="n">
        <x:v>7.3</x:v>
      </x:c>
      <x:c r="H7" s="60" t="n">
        <x:f>G7-F7</x:f>
        <x:v>2.5</x:v>
      </x:c>
      <x:c r="I7" s="50" t="str">
        <x:v>adult-illico-liberte-weekend</x:v>
      </x:c>
      <x:c r="J7" s="50" t="str">
        <x:v>lyon-part-dieu|meximieux-perouges</x:v>
      </x:c>
    </x:row>
    <x:row r="8">
      <x:c r="A8" s="50" t="str">
        <x:v>Lyon Part-Dieu</x:v>
      </x:c>
      <x:c r="B8" s="50" t="str">
        <x:v>Meximieux – Pérouges</x:v>
      </x:c>
      <x:c r="C8" s="51" t="n">
        <x:v>33</x:v>
      </x:c>
      <x:c r="D8" s="50" t="str">
        <x:v>Adulte</x:v>
      </x:c>
      <x:c r="E8" s="50" t="str">
        <x:v>illico LIBERTÉ — Accompagnant, Week-end / Jour férié (-50 %)</x:v>
      </x:c>
      <x:c r="F8" s="52" t="n">
        <x:v>4.8</x:v>
      </x:c>
      <x:c r="G8" s="52" t="n">
        <x:v>7.3</x:v>
      </x:c>
      <x:c r="H8" s="60" t="n">
        <x:f>G8-F8</x:f>
        <x:v>2.5</x:v>
      </x:c>
      <x:c r="I8" s="50" t="str">
        <x:v>adult-illico-liberte-weekend-companion</x:v>
      </x:c>
      <x:c r="J8" s="50" t="str">
        <x:v>lyon-part-dieu|meximieux-perouges</x:v>
      </x:c>
    </x:row>
    <x:row r="9">
      <x:c r="A9" s="50" t="str">
        <x:v>Lyon Part-Dieu</x:v>
      </x:c>
      <x:c r="B9" s="50" t="str">
        <x:v>Meximieux – Pérouges</x:v>
      </x:c>
      <x:c r="C9" s="51" t="n">
        <x:v>33</x:v>
      </x:c>
      <x:c r="D9" s="50" t="str">
        <x:v>Adulte</x:v>
      </x:c>
      <x:c r="E9" s="50" t="str">
        <x:v>illico LIBERTÉ JEUNES (-50 %)</x:v>
      </x:c>
      <x:c r="F9" s="52" t="n">
        <x:v>4.8</x:v>
      </x:c>
      <x:c r="G9" s="52" t="n">
        <x:v>7.3</x:v>
      </x:c>
      <x:c r="H9" s="60" t="n">
        <x:f>G9-F9</x:f>
        <x:v>2.5</x:v>
      </x:c>
      <x:c r="I9" s="50" t="str">
        <x:v>adult-illico-jeunes</x:v>
      </x:c>
      <x:c r="J9" s="50" t="str">
        <x:v>lyon-part-dieu|meximieux-perouges</x:v>
      </x:c>
    </x:row>
    <x:row r="10">
      <x:c r="A10" s="50" t="str">
        <x:v>Lyon Part-Dieu</x:v>
      </x:c>
      <x:c r="B10" s="50" t="str">
        <x:v>Meximieux – Pérouges</x:v>
      </x:c>
      <x:c r="C10" s="51" t="n">
        <x:v>33</x:v>
      </x:c>
      <x:c r="D10" s="50" t="str">
        <x:v>Adulte</x:v>
      </x:c>
      <x:c r="E10" s="50" t="str">
        <x:v>Carte Liberté SNCF (-25 %)</x:v>
      </x:c>
      <x:c r="F10" s="52" t="n">
        <x:v>7.2</x:v>
      </x:c>
      <x:c r="G10" s="52" t="n">
        <x:v>11</x:v>
      </x:c>
      <x:c r="H10" s="60" t="n">
        <x:f>G10-F10</x:f>
        <x:v>3.8</x:v>
      </x:c>
      <x:c r="I10" s="50" t="str">
        <x:v>adult-liberte-nationale</x:v>
      </x:c>
      <x:c r="J10" s="50" t="str">
        <x:v>lyon-part-dieu|meximieux-perouges</x:v>
      </x:c>
    </x:row>
    <x:row r="11">
      <x:c r="A11" s="50" t="str">
        <x:v>Lyon Part-Dieu</x:v>
      </x:c>
      <x:c r="B11" s="50" t="str">
        <x:v>Meximieux – Pérouges</x:v>
      </x:c>
      <x:c r="C11" s="51" t="n">
        <x:v>33</x:v>
      </x:c>
      <x:c r="D11" s="50" t="str">
        <x:v>Adulte</x:v>
      </x:c>
      <x:c r="E11" s="50" t="str">
        <x:v>Carte Familles Nombreuses (-30 %)</x:v>
      </x:c>
      <x:c r="F11" s="52" t="n">
        <x:v>5.6</x:v>
      </x:c>
      <x:c r="G11" s="52" t="n">
        <x:v>9.5</x:v>
      </x:c>
      <x:c r="H11" s="60" t="n">
        <x:f>G11-F11</x:f>
        <x:v>3.9000000000000004</x:v>
      </x:c>
      <x:c r="I11" s="50" t="str">
        <x:v>adult-famille-nombreuse-30</x:v>
      </x:c>
      <x:c r="J11" s="50" t="str">
        <x:v>lyon-part-dieu|meximieux-perouges</x:v>
      </x:c>
    </x:row>
    <x:row r="12">
      <x:c r="A12" s="50" t="str">
        <x:v>Lyon Part-Dieu</x:v>
      </x:c>
      <x:c r="B12" s="50" t="str">
        <x:v>Meximieux – Pérouges</x:v>
      </x:c>
      <x:c r="C12" s="51" t="n">
        <x:v>33</x:v>
      </x:c>
      <x:c r="D12" s="50" t="str">
        <x:v>Adulte</x:v>
      </x:c>
      <x:c r="E12" s="50" t="str">
        <x:v>Carte Familles Nombreuses (-40 %)</x:v>
      </x:c>
      <x:c r="F12" s="52" t="n">
        <x:v>4.8</x:v>
      </x:c>
      <x:c r="G12" s="52" t="n">
        <x:v>8.7</x:v>
      </x:c>
      <x:c r="H12" s="60" t="n">
        <x:f>G12-F12</x:f>
        <x:v>3.8999999999999995</x:v>
      </x:c>
      <x:c r="I12" s="50" t="str">
        <x:v>adult-famille-nombreuse-40</x:v>
      </x:c>
      <x:c r="J12" s="50" t="str">
        <x:v>lyon-part-dieu|meximieux-perouges</x:v>
      </x:c>
    </x:row>
    <x:row r="13">
      <x:c r="A13" s="50" t="str">
        <x:v>Lyon Part-Dieu</x:v>
      </x:c>
      <x:c r="B13" s="50" t="str">
        <x:v>Meximieux – Pérouges</x:v>
      </x:c>
      <x:c r="C13" s="51" t="n">
        <x:v>33</x:v>
      </x:c>
      <x:c r="D13" s="50" t="str">
        <x:v>Adulte</x:v>
      </x:c>
      <x:c r="E13" s="50" t="str">
        <x:v>Carte Familles Nombreuses (-50 %)</x:v>
      </x:c>
      <x:c r="F13" s="52" t="n">
        <x:v>4</x:v>
      </x:c>
      <x:c r="G13" s="52" t="n">
        <x:v>7.9</x:v>
      </x:c>
      <x:c r="H13" s="60" t="n">
        <x:f>G13-F13</x:f>
        <x:v>3.9000000000000004</x:v>
      </x:c>
      <x:c r="I13" s="50" t="str">
        <x:v>adult-famille-nombreuse-50</x:v>
      </x:c>
      <x:c r="J13" s="50" t="str">
        <x:v>lyon-part-dieu|meximieux-perouges</x:v>
      </x:c>
    </x:row>
    <x:row r="14">
      <x:c r="A14" s="50" t="str">
        <x:v>Lyon Part-Dieu</x:v>
      </x:c>
      <x:c r="B14" s="50" t="str">
        <x:v>Meximieux – Pérouges</x:v>
      </x:c>
      <x:c r="C14" s="51" t="n">
        <x:v>33</x:v>
      </x:c>
      <x:c r="D14" s="50" t="str">
        <x:v>Adulte</x:v>
      </x:c>
      <x:c r="E14" s="50" t="str">
        <x:v>Carte Familles Nombreuses (-75 %)</x:v>
      </x:c>
      <x:c r="F14" s="52" t="n">
        <x:v>2</x:v>
      </x:c>
      <x:c r="G14" s="52" t="n">
        <x:v>5.9</x:v>
      </x:c>
      <x:c r="H14" s="60" t="n">
        <x:f>G14-F14</x:f>
        <x:v>3.9000000000000004</x:v>
      </x:c>
      <x:c r="I14" s="50" t="str">
        <x:v>adult-famille-nombreuse-75</x:v>
      </x:c>
      <x:c r="J14" s="50" t="str">
        <x:v>lyon-part-dieu|meximieux-perouges</x:v>
      </x:c>
    </x:row>
    <x:row r="15">
      <x:c r="A15" s="50" t="str">
        <x:v>Lyon Part-Dieu</x:v>
      </x:c>
      <x:c r="B15" s="50" t="str">
        <x:v>Meximieux – Pérouges</x:v>
      </x:c>
      <x:c r="C15" s="51" t="n">
        <x:v>33</x:v>
      </x:c>
      <x:c r="D15" s="50" t="str">
        <x:v>Adulte</x:v>
      </x:c>
      <x:c r="E15" s="50" t="str">
        <x:v>Carte Militaire (-75 %)</x:v>
      </x:c>
      <x:c r="F15" s="52" t="n">
        <x:v>2</x:v>
      </x:c>
      <x:c r="G15" s="52" t="n">
        <x:v>5.9</x:v>
      </x:c>
      <x:c r="H15" s="60" t="n">
        <x:f>G15-F15</x:f>
        <x:v>3.9000000000000004</x:v>
      </x:c>
      <x:c r="I15" s="50" t="str">
        <x:v>adult-military</x:v>
      </x:c>
      <x:c r="J15" s="50" t="str">
        <x:v>lyon-part-dieu|meximieux-perouges</x:v>
      </x:c>
    </x:row>
    <x:row r="16">
      <x:c r="A16" s="50" t="str">
        <x:v>Lyon Part-Dieu</x:v>
      </x:c>
      <x:c r="B16" s="50" t="str">
        <x:v>Meximieux – Pérouges</x:v>
      </x:c>
      <x:c r="C16" s="51" t="n">
        <x:v>33</x:v>
      </x:c>
      <x:c r="D16" s="50" t="str">
        <x:v>Adulte</x:v>
      </x:c>
      <x:c r="E16" s="50" t="str">
        <x:v>Carte Famille Militaire (-40 %)</x:v>
      </x:c>
      <x:c r="F16" s="52" t="n">
        <x:v>5.8</x:v>
      </x:c>
      <x:c r="G16" s="52" t="n">
        <x:v>8.8</x:v>
      </x:c>
      <x:c r="H16" s="60" t="n">
        <x:f>G16-F16</x:f>
        <x:v>3.000000000000001</x:v>
      </x:c>
      <x:c r="I16" s="50" t="str">
        <x:v>adult-family-military</x:v>
      </x:c>
      <x:c r="J16" s="50" t="str">
        <x:v>lyon-part-dieu|meximieux-perouges</x:v>
      </x:c>
    </x:row>
    <x:row r="17">
      <x:c r="A17" s="50" t="str">
        <x:v>Lyon Part-Dieu</x:v>
      </x:c>
      <x:c r="B17" s="50" t="str">
        <x:v>Meximieux – Pérouges</x:v>
      </x:c>
      <x:c r="C17" s="51" t="n">
        <x:v>33</x:v>
      </x:c>
      <x:c r="D17" s="50" t="str">
        <x:v>Enfant 4–11 ans</x:v>
      </x:c>
      <x:c r="E17" s="50" t="str">
        <x:v>Aucune — Tarif Enfant 4–11 ans</x:v>
      </x:c>
      <x:c r="F17" s="52" t="n">
        <x:v>4.8</x:v>
      </x:c>
      <x:c r="G17" s="52" t="n">
        <x:v>7.3</x:v>
      </x:c>
      <x:c r="H17" s="60" t="n">
        <x:f>G17-F17</x:f>
        <x:v>2.5</x:v>
      </x:c>
      <x:c r="I17" s="50" t="str">
        <x:v>child-none</x:v>
      </x:c>
      <x:c r="J17" s="50" t="str">
        <x:v>lyon-part-dieu|meximieux-perouges</x:v>
      </x:c>
    </x:row>
    <x:row r="18">
      <x:c r="A18" s="50" t="str">
        <x:v>Lyon Part-Dieu</x:v>
      </x:c>
      <x:c r="B18" s="50" t="str">
        <x:v>Meximieux – Pérouges</x:v>
      </x:c>
      <x:c r="C18" s="51" t="n">
        <x:v>33</x:v>
      </x:c>
      <x:c r="D18" s="50" t="str">
        <x:v>Enfant 4–11 ans</x:v>
      </x:c>
      <x:c r="E18" s="50" t="str">
        <x:v>illico LIBERTÉ — Accompagnant, Week-end / Jour férié</x:v>
      </x:c>
      <x:c r="F18" s="52" t="n">
        <x:v>2.4</x:v>
      </x:c>
      <x:c r="G18" s="52" t="n">
        <x:v>3.7</x:v>
      </x:c>
      <x:c r="H18" s="60" t="n">
        <x:f>G18-F18</x:f>
        <x:v>1.3000000000000003</x:v>
      </x:c>
      <x:c r="I18" s="50" t="str">
        <x:v>child-illico-liberte-weekend-companion</x:v>
      </x:c>
      <x:c r="J18" s="50" t="str">
        <x:v>lyon-part-dieu|meximieux-perouges</x:v>
      </x:c>
    </x:row>
    <x:row r="19">
      <x:c r="A19" s="50" t="str">
        <x:v>Lyon Part-Dieu</x:v>
      </x:c>
      <x:c r="B19" s="50" t="str">
        <x:v>Meximieux – Pérouges</x:v>
      </x:c>
      <x:c r="C19" s="51" t="n">
        <x:v>33</x:v>
      </x:c>
      <x:c r="D19" s="50" t="str">
        <x:v>Enfant 4–11 ans</x:v>
      </x:c>
      <x:c r="E19" s="50" t="str">
        <x:v>Carte Famille Militaire</x:v>
      </x:c>
      <x:c r="F19" s="52" t="n">
        <x:v>2.9</x:v>
      </x:c>
      <x:c r="G19" s="52" t="n">
        <x:v>4.4</x:v>
      </x:c>
      <x:c r="H19" s="60" t="n">
        <x:f>G19-F19</x:f>
        <x:v>1.5000000000000004</x:v>
      </x:c>
      <x:c r="I19" s="50" t="str">
        <x:v>child-family-military</x:v>
      </x:c>
      <x:c r="J19" s="50" t="str">
        <x:v>lyon-part-dieu|meximieux-perouges</x:v>
      </x:c>
    </x:row>
    <x:row r="20">
      <x:c r="A20" s="50" t="str">
        <x:v>Lyon Part-Dieu</x:v>
      </x:c>
      <x:c r="B20" s="50" t="str">
        <x:v>Meximieux – Pérouges</x:v>
      </x:c>
      <x:c r="C20" s="51" t="n">
        <x:v>33</x:v>
      </x:c>
      <x:c r="D20" s="50" t="str">
        <x:v>Enfant 4–11 ans</x:v>
      </x:c>
      <x:c r="E20" s="50" t="str">
        <x:v>Carte Familles Nombreuses (-30 %)</x:v>
      </x:c>
      <x:c r="F20" s="52" t="n">
        <x:v>2.8</x:v>
      </x:c>
      <x:c r="G20" s="52" t="n">
        <x:v>4.8</x:v>
      </x:c>
      <x:c r="H20" s="60" t="n">
        <x:f>G20-F20</x:f>
        <x:v>2</x:v>
      </x:c>
      <x:c r="I20" s="50" t="str">
        <x:v>child-famille-nombreuse-30</x:v>
      </x:c>
      <x:c r="J20" s="50" t="str">
        <x:v>lyon-part-dieu|meximieux-perouges</x:v>
      </x:c>
    </x:row>
    <x:row r="21">
      <x:c r="A21" s="50" t="str">
        <x:v>Lyon Part-Dieu</x:v>
      </x:c>
      <x:c r="B21" s="50" t="str">
        <x:v>Meximieux – Pérouges</x:v>
      </x:c>
      <x:c r="C21" s="51" t="n">
        <x:v>33</x:v>
      </x:c>
      <x:c r="D21" s="50" t="str">
        <x:v>Enfant 4–11 ans</x:v>
      </x:c>
      <x:c r="E21" s="50" t="str">
        <x:v>Carte Familles Nombreuses (-40 %)</x:v>
      </x:c>
      <x:c r="F21" s="52" t="n">
        <x:v>2.4</x:v>
      </x:c>
      <x:c r="G21" s="52" t="n">
        <x:v>4.4</x:v>
      </x:c>
      <x:c r="H21" s="60" t="n">
        <x:f>G21-F21</x:f>
        <x:v>2.0000000000000004</x:v>
      </x:c>
      <x:c r="I21" s="50" t="str">
        <x:v>child-famille-nombreuse-40</x:v>
      </x:c>
      <x:c r="J21" s="50" t="str">
        <x:v>lyon-part-dieu|meximieux-perouges</x:v>
      </x:c>
    </x:row>
    <x:row r="22">
      <x:c r="A22" s="50" t="str">
        <x:v>Lyon Part-Dieu</x:v>
      </x:c>
      <x:c r="B22" s="50" t="str">
        <x:v>Meximieux – Pérouges</x:v>
      </x:c>
      <x:c r="C22" s="51" t="n">
        <x:v>33</x:v>
      </x:c>
      <x:c r="D22" s="50" t="str">
        <x:v>Enfant 4–11 ans</x:v>
      </x:c>
      <x:c r="E22" s="50" t="str">
        <x:v>Carte Familles Nombreuses (-50 %)</x:v>
      </x:c>
      <x:c r="F22" s="52" t="n">
        <x:v>2</x:v>
      </x:c>
      <x:c r="G22" s="52" t="n">
        <x:v>4</x:v>
      </x:c>
      <x:c r="H22" s="60" t="n">
        <x:f>G22-F22</x:f>
        <x:v>2</x:v>
      </x:c>
      <x:c r="I22" s="50" t="str">
        <x:v>child-famille-nombreuse-50</x:v>
      </x:c>
      <x:c r="J22" s="50" t="str">
        <x:v>lyon-part-dieu|meximieux-perouges</x:v>
      </x:c>
    </x:row>
    <x:row r="23">
      <x:c r="A23" s="50" t="str">
        <x:v>Lyon Part-Dieu</x:v>
      </x:c>
      <x:c r="B23" s="50" t="str">
        <x:v>Meximieux – Pérouges</x:v>
      </x:c>
      <x:c r="C23" s="51" t="n">
        <x:v>33</x:v>
      </x:c>
      <x:c r="D23" s="50" t="str">
        <x:v>Enfant 4–11 ans</x:v>
      </x:c>
      <x:c r="E23" s="50" t="str">
        <x:v>Carte Familles Nombreuses (-75 %)</x:v>
      </x:c>
      <x:c r="F23" s="52" t="n">
        <x:v>1.2</x:v>
      </x:c>
      <x:c r="G23" s="52" t="n">
        <x:v>3</x:v>
      </x:c>
      <x:c r="H23" s="60" t="n">
        <x:f>G23-F23</x:f>
        <x:v>1.8</x:v>
      </x:c>
      <x:c r="I23" s="50" t="str">
        <x:v>child-famille-nombreuse-75</x:v>
      </x:c>
      <x:c r="J23" s="50" t="str">
        <x:v>lyon-part-dieu|meximieux-perouges</x:v>
      </x:c>
    </x:row>
    <x:row r="24">
      <x:c r="A24" s="50" t="str">
        <x:v>Lyon Part-Dieu</x:v>
      </x:c>
      <x:c r="B24" s="50" t="str">
        <x:v>Ambérieu-en-Bugey</x:v>
      </x:c>
      <x:c r="C24" s="51" t="n">
        <x:v>47</x:v>
      </x:c>
      <x:c r="D24" s="50" t="str">
        <x:v>Adulte</x:v>
      </x:c>
      <x:c r="E24" s="50" t="str">
        <x:v>Aucune — Plein tarif</x:v>
      </x:c>
      <x:c r="F24" s="52" t="n">
        <x:v>12.4</x:v>
      </x:c>
      <x:c r="G24" s="52" t="n">
        <x:v>18.8</x:v>
      </x:c>
      <x:c r="H24" s="60" t="n">
        <x:f>G24-F24</x:f>
        <x:v>6.4</x:v>
      </x:c>
      <x:c r="I24" s="50" t="str">
        <x:v>adult-none</x:v>
      </x:c>
      <x:c r="J24" s="50" t="str">
        <x:v>lyon-part-dieu|amberieu-en-bugey</x:v>
      </x:c>
    </x:row>
    <x:row r="25">
      <x:c r="A25" s="50" t="str">
        <x:v>Lyon Part-Dieu</x:v>
      </x:c>
      <x:c r="B25" s="50" t="str">
        <x:v>Ambérieu-en-Bugey</x:v>
      </x:c>
      <x:c r="C25" s="51" t="n">
        <x:v>47</x:v>
      </x:c>
      <x:c r="D25" s="50" t="str">
        <x:v>Adulte</x:v>
      </x:c>
      <x:c r="E25" s="50" t="str">
        <x:v>illico LIBERTÉ — Semaine (-25 %)</x:v>
      </x:c>
      <x:c r="F25" s="52" t="n">
        <x:v>9.3</x:v>
      </x:c>
      <x:c r="G25" s="52" t="n">
        <x:v>14.1</x:v>
      </x:c>
      <x:c r="H25" s="60" t="n">
        <x:f>G25-F25</x:f>
        <x:v>4.799999999999999</x:v>
      </x:c>
      <x:c r="I25" s="50" t="str">
        <x:v>adult-illico-liberte-weekday</x:v>
      </x:c>
      <x:c r="J25" s="50" t="str">
        <x:v>lyon-part-dieu|amberieu-en-bugey</x:v>
      </x:c>
    </x:row>
    <x:row r="26">
      <x:c r="A26" s="50" t="str">
        <x:v>Lyon Part-Dieu</x:v>
      </x:c>
      <x:c r="B26" s="50" t="str">
        <x:v>Ambérieu-en-Bugey</x:v>
      </x:c>
      <x:c r="C26" s="51" t="n">
        <x:v>47</x:v>
      </x:c>
      <x:c r="D26" s="50" t="str">
        <x:v>Adulte</x:v>
      </x:c>
      <x:c r="E26" s="50" t="str">
        <x:v>illico LIBERTÉ — Week-end / Jour férié (-50 %)</x:v>
      </x:c>
      <x:c r="F26" s="52" t="n">
        <x:v>6.2</x:v>
      </x:c>
      <x:c r="G26" s="52" t="n">
        <x:v>9.4</x:v>
      </x:c>
      <x:c r="H26" s="60" t="n">
        <x:f>G26-F26</x:f>
        <x:v>3.2</x:v>
      </x:c>
      <x:c r="I26" s="50" t="str">
        <x:v>adult-illico-liberte-weekend</x:v>
      </x:c>
      <x:c r="J26" s="50" t="str">
        <x:v>lyon-part-dieu|amberieu-en-bugey</x:v>
      </x:c>
    </x:row>
    <x:row r="27">
      <x:c r="A27" s="50" t="str">
        <x:v>Lyon Part-Dieu</x:v>
      </x:c>
      <x:c r="B27" s="50" t="str">
        <x:v>Ambérieu-en-Bugey</x:v>
      </x:c>
      <x:c r="C27" s="51" t="n">
        <x:v>47</x:v>
      </x:c>
      <x:c r="D27" s="50" t="str">
        <x:v>Adulte</x:v>
      </x:c>
      <x:c r="E27" s="50" t="str">
        <x:v>illico LIBERTÉ — Accompagnant, Week-end / Jour férié (-50 %)</x:v>
      </x:c>
      <x:c r="F27" s="52" t="n">
        <x:v>6.2</x:v>
      </x:c>
      <x:c r="G27" s="52" t="n">
        <x:v>9.4</x:v>
      </x:c>
      <x:c r="H27" s="60" t="n">
        <x:f>G27-F27</x:f>
        <x:v>3.2</x:v>
      </x:c>
      <x:c r="I27" s="50" t="str">
        <x:v>adult-illico-liberte-weekend-companion</x:v>
      </x:c>
      <x:c r="J27" s="50" t="str">
        <x:v>lyon-part-dieu|amberieu-en-bugey</x:v>
      </x:c>
    </x:row>
    <x:row r="28">
      <x:c r="A28" s="50" t="str">
        <x:v>Lyon Part-Dieu</x:v>
      </x:c>
      <x:c r="B28" s="50" t="str">
        <x:v>Ambérieu-en-Bugey</x:v>
      </x:c>
      <x:c r="C28" s="51" t="n">
        <x:v>47</x:v>
      </x:c>
      <x:c r="D28" s="50" t="str">
        <x:v>Adulte</x:v>
      </x:c>
      <x:c r="E28" s="50" t="str">
        <x:v>illico LIBERTÉ JEUNES (-50 %)</x:v>
      </x:c>
      <x:c r="F28" s="52" t="n">
        <x:v>6.2</x:v>
      </x:c>
      <x:c r="G28" s="52" t="n">
        <x:v>9.4</x:v>
      </x:c>
      <x:c r="H28" s="60" t="n">
        <x:f>G28-F28</x:f>
        <x:v>3.2</x:v>
      </x:c>
      <x:c r="I28" s="50" t="str">
        <x:v>adult-illico-jeunes</x:v>
      </x:c>
      <x:c r="J28" s="50" t="str">
        <x:v>lyon-part-dieu|amberieu-en-bugey</x:v>
      </x:c>
    </x:row>
    <x:row r="29">
      <x:c r="A29" s="50" t="str">
        <x:v>Lyon Part-Dieu</x:v>
      </x:c>
      <x:c r="B29" s="50" t="str">
        <x:v>Ambérieu-en-Bugey</x:v>
      </x:c>
      <x:c r="C29" s="51" t="n">
        <x:v>47</x:v>
      </x:c>
      <x:c r="D29" s="50" t="str">
        <x:v>Adulte</x:v>
      </x:c>
      <x:c r="E29" s="50" t="str">
        <x:v>Carte Liberté SNCF (-25 %)</x:v>
      </x:c>
      <x:c r="F29" s="52" t="n">
        <x:v>9.3</x:v>
      </x:c>
      <x:c r="G29" s="52" t="n">
        <x:v>14.1</x:v>
      </x:c>
      <x:c r="H29" s="60" t="n">
        <x:f>G29-F29</x:f>
        <x:v>4.799999999999999</x:v>
      </x:c>
      <x:c r="I29" s="50" t="str">
        <x:v>adult-liberte-nationale</x:v>
      </x:c>
      <x:c r="J29" s="50" t="str">
        <x:v>lyon-part-dieu|amberieu-en-bugey</x:v>
      </x:c>
    </x:row>
    <x:row r="30">
      <x:c r="A30" s="50" t="str">
        <x:v>Lyon Part-Dieu</x:v>
      </x:c>
      <x:c r="B30" s="50" t="str">
        <x:v>Ambérieu-en-Bugey</x:v>
      </x:c>
      <x:c r="C30" s="51" t="n">
        <x:v>47</x:v>
      </x:c>
      <x:c r="D30" s="50" t="str">
        <x:v>Adulte</x:v>
      </x:c>
      <x:c r="E30" s="50" t="str">
        <x:v>Carte Familles Nombreuses (-30 %)</x:v>
      </x:c>
      <x:c r="F30" s="52" t="n">
        <x:v>7.1</x:v>
      </x:c>
      <x:c r="G30" s="52" t="n">
        <x:v>12.1</x:v>
      </x:c>
      <x:c r="H30" s="60" t="n">
        <x:f>G30-F30</x:f>
        <x:v>5</x:v>
      </x:c>
      <x:c r="I30" s="50" t="str">
        <x:v>adult-famille-nombreuse-30</x:v>
      </x:c>
      <x:c r="J30" s="50" t="str">
        <x:v>lyon-part-dieu|amberieu-en-bugey</x:v>
      </x:c>
    </x:row>
    <x:row r="31">
      <x:c r="A31" s="50" t="str">
        <x:v>Lyon Part-Dieu</x:v>
      </x:c>
      <x:c r="B31" s="50" t="str">
        <x:v>Ambérieu-en-Bugey</x:v>
      </x:c>
      <x:c r="C31" s="51" t="n">
        <x:v>47</x:v>
      </x:c>
      <x:c r="D31" s="50" t="str">
        <x:v>Adulte</x:v>
      </x:c>
      <x:c r="E31" s="50" t="str">
        <x:v>Carte Familles Nombreuses (-40 %)</x:v>
      </x:c>
      <x:c r="F31" s="52" t="n">
        <x:v>6.1</x:v>
      </x:c>
      <x:c r="G31" s="52" t="n">
        <x:v>11.1</x:v>
      </x:c>
      <x:c r="H31" s="60" t="n">
        <x:f>G31-F31</x:f>
        <x:v>5</x:v>
      </x:c>
      <x:c r="I31" s="50" t="str">
        <x:v>adult-famille-nombreuse-40</x:v>
      </x:c>
      <x:c r="J31" s="50" t="str">
        <x:v>lyon-part-dieu|amberieu-en-bugey</x:v>
      </x:c>
    </x:row>
    <x:row r="32">
      <x:c r="A32" s="50" t="str">
        <x:v>Lyon Part-Dieu</x:v>
      </x:c>
      <x:c r="B32" s="50" t="str">
        <x:v>Ambérieu-en-Bugey</x:v>
      </x:c>
      <x:c r="C32" s="51" t="n">
        <x:v>47</x:v>
      </x:c>
      <x:c r="D32" s="50" t="str">
        <x:v>Adulte</x:v>
      </x:c>
      <x:c r="E32" s="50" t="str">
        <x:v>Carte Familles Nombreuses (-50 %)</x:v>
      </x:c>
      <x:c r="F32" s="52" t="n">
        <x:v>5.1</x:v>
      </x:c>
      <x:c r="G32" s="52" t="n">
        <x:v>10.1</x:v>
      </x:c>
      <x:c r="H32" s="60" t="n">
        <x:f>G32-F32</x:f>
        <x:v>5</x:v>
      </x:c>
      <x:c r="I32" s="50" t="str">
        <x:v>adult-famille-nombreuse-50</x:v>
      </x:c>
      <x:c r="J32" s="50" t="str">
        <x:v>lyon-part-dieu|amberieu-en-bugey</x:v>
      </x:c>
    </x:row>
    <x:row r="33">
      <x:c r="A33" s="50" t="str">
        <x:v>Lyon Part-Dieu</x:v>
      </x:c>
      <x:c r="B33" s="50" t="str">
        <x:v>Ambérieu-en-Bugey</x:v>
      </x:c>
      <x:c r="C33" s="51" t="n">
        <x:v>47</x:v>
      </x:c>
      <x:c r="D33" s="50" t="str">
        <x:v>Adulte</x:v>
      </x:c>
      <x:c r="E33" s="50" t="str">
        <x:v>Carte Familles Nombreuses (-75 %)</x:v>
      </x:c>
      <x:c r="F33" s="52" t="n">
        <x:v>2.6</x:v>
      </x:c>
      <x:c r="G33" s="52" t="n">
        <x:v>7.6</x:v>
      </x:c>
      <x:c r="H33" s="60" t="n">
        <x:f>G33-F33</x:f>
        <x:v>5</x:v>
      </x:c>
      <x:c r="I33" s="50" t="str">
        <x:v>adult-famille-nombreuse-75</x:v>
      </x:c>
      <x:c r="J33" s="50" t="str">
        <x:v>lyon-part-dieu|amberieu-en-bugey</x:v>
      </x:c>
    </x:row>
    <x:row r="34">
      <x:c r="A34" s="50" t="str">
        <x:v>Lyon Part-Dieu</x:v>
      </x:c>
      <x:c r="B34" s="50" t="str">
        <x:v>Ambérieu-en-Bugey</x:v>
      </x:c>
      <x:c r="C34" s="51" t="n">
        <x:v>47</x:v>
      </x:c>
      <x:c r="D34" s="50" t="str">
        <x:v>Adulte</x:v>
      </x:c>
      <x:c r="E34" s="50" t="str">
        <x:v>Carte Militaire (-75 %)</x:v>
      </x:c>
      <x:c r="F34" s="52" t="n">
        <x:v>2.6</x:v>
      </x:c>
      <x:c r="G34" s="52" t="n">
        <x:v>7.6</x:v>
      </x:c>
      <x:c r="H34" s="60" t="n">
        <x:f>G34-F34</x:f>
        <x:v>5</x:v>
      </x:c>
      <x:c r="I34" s="50" t="str">
        <x:v>adult-military</x:v>
      </x:c>
      <x:c r="J34" s="50" t="str">
        <x:v>lyon-part-dieu|amberieu-en-bugey</x:v>
      </x:c>
    </x:row>
    <x:row r="35">
      <x:c r="A35" s="50" t="str">
        <x:v>Lyon Part-Dieu</x:v>
      </x:c>
      <x:c r="B35" s="50" t="str">
        <x:v>Ambérieu-en-Bugey</x:v>
      </x:c>
      <x:c r="C35" s="51" t="n">
        <x:v>47</x:v>
      </x:c>
      <x:c r="D35" s="50" t="str">
        <x:v>Adulte</x:v>
      </x:c>
      <x:c r="E35" s="50" t="str">
        <x:v>Carte Famille Militaire (-40 %)</x:v>
      </x:c>
      <x:c r="F35" s="52" t="n">
        <x:v>7.5</x:v>
      </x:c>
      <x:c r="G35" s="52" t="n">
        <x:v>11.3</x:v>
      </x:c>
      <x:c r="H35" s="60" t="n">
        <x:f>G35-F35</x:f>
        <x:v>3.8000000000000007</x:v>
      </x:c>
      <x:c r="I35" s="50" t="str">
        <x:v>adult-family-military</x:v>
      </x:c>
      <x:c r="J35" s="50" t="str">
        <x:v>lyon-part-dieu|amberieu-en-bugey</x:v>
      </x:c>
    </x:row>
    <x:row r="36">
      <x:c r="A36" s="50" t="str">
        <x:v>Lyon Part-Dieu</x:v>
      </x:c>
      <x:c r="B36" s="50" t="str">
        <x:v>Ambérieu-en-Bugey</x:v>
      </x:c>
      <x:c r="C36" s="51" t="n">
        <x:v>47</x:v>
      </x:c>
      <x:c r="D36" s="50" t="str">
        <x:v>Enfant 4–11 ans</x:v>
      </x:c>
      <x:c r="E36" s="50" t="str">
        <x:v>Aucune — Tarif Enfant 4–11 ans</x:v>
      </x:c>
      <x:c r="F36" s="52" t="n">
        <x:v>6.2</x:v>
      </x:c>
      <x:c r="G36" s="52" t="n">
        <x:v>9.4</x:v>
      </x:c>
      <x:c r="H36" s="60" t="n">
        <x:f>G36-F36</x:f>
        <x:v>3.2</x:v>
      </x:c>
      <x:c r="I36" s="50" t="str">
        <x:v>child-none</x:v>
      </x:c>
      <x:c r="J36" s="50" t="str">
        <x:v>lyon-part-dieu|amberieu-en-bugey</x:v>
      </x:c>
    </x:row>
    <x:row r="37">
      <x:c r="A37" s="50" t="str">
        <x:v>Lyon Part-Dieu</x:v>
      </x:c>
      <x:c r="B37" s="50" t="str">
        <x:v>Ambérieu-en-Bugey</x:v>
      </x:c>
      <x:c r="C37" s="51" t="n">
        <x:v>47</x:v>
      </x:c>
      <x:c r="D37" s="50" t="str">
        <x:v>Enfant 4–11 ans</x:v>
      </x:c>
      <x:c r="E37" s="50" t="str">
        <x:v>illico LIBERTÉ — Accompagnant, Week-end / Jour férié</x:v>
      </x:c>
      <x:c r="F37" s="52" t="n">
        <x:v>3.1</x:v>
      </x:c>
      <x:c r="G37" s="52" t="n">
        <x:v>4.7</x:v>
      </x:c>
      <x:c r="H37" s="60" t="n">
        <x:f>G37-F37</x:f>
        <x:v>1.6</x:v>
      </x:c>
      <x:c r="I37" s="50" t="str">
        <x:v>child-illico-liberte-weekend-companion</x:v>
      </x:c>
      <x:c r="J37" s="50" t="str">
        <x:v>lyon-part-dieu|amberieu-en-bugey</x:v>
      </x:c>
    </x:row>
    <x:row r="38">
      <x:c r="A38" s="50" t="str">
        <x:v>Lyon Part-Dieu</x:v>
      </x:c>
      <x:c r="B38" s="50" t="str">
        <x:v>Ambérieu-en-Bugey</x:v>
      </x:c>
      <x:c r="C38" s="51" t="n">
        <x:v>47</x:v>
      </x:c>
      <x:c r="D38" s="50" t="str">
        <x:v>Enfant 4–11 ans</x:v>
      </x:c>
      <x:c r="E38" s="50" t="str">
        <x:v>Carte Famille Militaire</x:v>
      </x:c>
      <x:c r="F38" s="52" t="n">
        <x:v>3.8</x:v>
      </x:c>
      <x:c r="G38" s="52" t="n">
        <x:v>5.7</x:v>
      </x:c>
      <x:c r="H38" s="60" t="n">
        <x:f>G38-F38</x:f>
        <x:v>1.9000000000000004</x:v>
      </x:c>
      <x:c r="I38" s="50" t="str">
        <x:v>child-family-military</x:v>
      </x:c>
      <x:c r="J38" s="50" t="str">
        <x:v>lyon-part-dieu|amberieu-en-bugey</x:v>
      </x:c>
    </x:row>
    <x:row r="39">
      <x:c r="A39" s="50" t="str">
        <x:v>Lyon Part-Dieu</x:v>
      </x:c>
      <x:c r="B39" s="50" t="str">
        <x:v>Ambérieu-en-Bugey</x:v>
      </x:c>
      <x:c r="C39" s="51" t="n">
        <x:v>47</x:v>
      </x:c>
      <x:c r="D39" s="50" t="str">
        <x:v>Enfant 4–11 ans</x:v>
      </x:c>
      <x:c r="E39" s="50" t="str">
        <x:v>Carte Familles Nombreuses (-30 %)</x:v>
      </x:c>
      <x:c r="F39" s="52" t="n">
        <x:v>3.6</x:v>
      </x:c>
      <x:c r="G39" s="52" t="n">
        <x:v>6.1</x:v>
      </x:c>
      <x:c r="H39" s="60" t="n">
        <x:f>G39-F39</x:f>
        <x:v>2.4999999999999996</x:v>
      </x:c>
      <x:c r="I39" s="50" t="str">
        <x:v>child-famille-nombreuse-30</x:v>
      </x:c>
      <x:c r="J39" s="50" t="str">
        <x:v>lyon-part-dieu|amberieu-en-bugey</x:v>
      </x:c>
    </x:row>
    <x:row r="40">
      <x:c r="A40" s="50" t="str">
        <x:v>Lyon Part-Dieu</x:v>
      </x:c>
      <x:c r="B40" s="50" t="str">
        <x:v>Ambérieu-en-Bugey</x:v>
      </x:c>
      <x:c r="C40" s="51" t="n">
        <x:v>47</x:v>
      </x:c>
      <x:c r="D40" s="50" t="str">
        <x:v>Enfant 4–11 ans</x:v>
      </x:c>
      <x:c r="E40" s="50" t="str">
        <x:v>Carte Familles Nombreuses (-40 %)</x:v>
      </x:c>
      <x:c r="F40" s="52" t="n">
        <x:v>3.1</x:v>
      </x:c>
      <x:c r="G40" s="52" t="n">
        <x:v>5.6</x:v>
      </x:c>
      <x:c r="H40" s="60" t="n">
        <x:f>G40-F40</x:f>
        <x:v>2.4999999999999996</x:v>
      </x:c>
      <x:c r="I40" s="50" t="str">
        <x:v>child-famille-nombreuse-40</x:v>
      </x:c>
      <x:c r="J40" s="50" t="str">
        <x:v>lyon-part-dieu|amberieu-en-bugey</x:v>
      </x:c>
    </x:row>
    <x:row r="41">
      <x:c r="A41" s="50" t="str">
        <x:v>Lyon Part-Dieu</x:v>
      </x:c>
      <x:c r="B41" s="50" t="str">
        <x:v>Ambérieu-en-Bugey</x:v>
      </x:c>
      <x:c r="C41" s="51" t="n">
        <x:v>47</x:v>
      </x:c>
      <x:c r="D41" s="50" t="str">
        <x:v>Enfant 4–11 ans</x:v>
      </x:c>
      <x:c r="E41" s="50" t="str">
        <x:v>Carte Familles Nombreuses (-50 %)</x:v>
      </x:c>
      <x:c r="F41" s="52" t="n">
        <x:v>2.6</x:v>
      </x:c>
      <x:c r="G41" s="52" t="n">
        <x:v>5.1</x:v>
      </x:c>
      <x:c r="H41" s="60" t="n">
        <x:f>G41-F41</x:f>
        <x:v>2.4999999999999996</x:v>
      </x:c>
      <x:c r="I41" s="50" t="str">
        <x:v>child-famille-nombreuse-50</x:v>
      </x:c>
      <x:c r="J41" s="50" t="str">
        <x:v>lyon-part-dieu|amberieu-en-bugey</x:v>
      </x:c>
    </x:row>
    <x:row r="42">
      <x:c r="A42" s="50" t="str">
        <x:v>Lyon Part-Dieu</x:v>
      </x:c>
      <x:c r="B42" s="50" t="str">
        <x:v>Ambérieu-en-Bugey</x:v>
      </x:c>
      <x:c r="C42" s="51" t="n">
        <x:v>47</x:v>
      </x:c>
      <x:c r="D42" s="50" t="str">
        <x:v>Enfant 4–11 ans</x:v>
      </x:c>
      <x:c r="E42" s="50" t="str">
        <x:v>Carte Familles Nombreuses (-75 %)</x:v>
      </x:c>
      <x:c r="F42" s="52" t="n">
        <x:v>1.3</x:v>
      </x:c>
      <x:c r="G42" s="52" t="n">
        <x:v>3.8</x:v>
      </x:c>
      <x:c r="H42" s="60" t="n">
        <x:f>G42-F42</x:f>
        <x:v>2.5</x:v>
      </x:c>
      <x:c r="I42" s="50" t="str">
        <x:v>child-famille-nombreuse-75</x:v>
      </x:c>
      <x:c r="J42" s="50" t="str">
        <x:v>lyon-part-dieu|amberieu-en-bugey</x:v>
      </x:c>
    </x:row>
    <x:row r="43">
      <x:c r="A43" s="50" t="str">
        <x:v>Lyon Part-Dieu</x:v>
      </x:c>
      <x:c r="B43" s="50" t="str">
        <x:v>Tenay-Hauteville</x:v>
      </x:c>
      <x:c r="C43" s="51" t="n">
        <x:v>65</x:v>
      </x:c>
      <x:c r="D43" s="50" t="str">
        <x:v>Adulte</x:v>
      </x:c>
      <x:c r="E43" s="50" t="str">
        <x:v>Aucune — Plein tarif</x:v>
      </x:c>
      <x:c r="F43" s="52" t="n">
        <x:v>16.3</x:v>
      </x:c>
      <x:c r="G43" s="52" t="n">
        <x:v>24.8</x:v>
      </x:c>
      <x:c r="H43" s="60" t="n">
        <x:f>G43-F43</x:f>
        <x:v>8.5</x:v>
      </x:c>
      <x:c r="I43" s="50" t="str">
        <x:v>adult-none</x:v>
      </x:c>
      <x:c r="J43" s="50" t="str">
        <x:v>lyon-part-dieu|tenay-hauteville</x:v>
      </x:c>
    </x:row>
    <x:row r="44">
      <x:c r="A44" s="50" t="str">
        <x:v>Lyon Part-Dieu</x:v>
      </x:c>
      <x:c r="B44" s="50" t="str">
        <x:v>Tenay-Hauteville</x:v>
      </x:c>
      <x:c r="C44" s="51" t="n">
        <x:v>65</x:v>
      </x:c>
      <x:c r="D44" s="50" t="str">
        <x:v>Adulte</x:v>
      </x:c>
      <x:c r="E44" s="50" t="str">
        <x:v>illico LIBERTÉ — Semaine (-25 %)</x:v>
      </x:c>
      <x:c r="F44" s="52" t="n">
        <x:v>12.3</x:v>
      </x:c>
      <x:c r="G44" s="52" t="n">
        <x:v>18.6</x:v>
      </x:c>
      <x:c r="H44" s="60" t="n">
        <x:f>G44-F44</x:f>
        <x:v>6.300000000000001</x:v>
      </x:c>
      <x:c r="I44" s="50" t="str">
        <x:v>adult-illico-liberte-weekday</x:v>
      </x:c>
      <x:c r="J44" s="50" t="str">
        <x:v>lyon-part-dieu|tenay-hauteville</x:v>
      </x:c>
    </x:row>
    <x:row r="45">
      <x:c r="A45" s="50" t="str">
        <x:v>Lyon Part-Dieu</x:v>
      </x:c>
      <x:c r="B45" s="50" t="str">
        <x:v>Tenay-Hauteville</x:v>
      </x:c>
      <x:c r="C45" s="51" t="n">
        <x:v>65</x:v>
      </x:c>
      <x:c r="D45" s="50" t="str">
        <x:v>Adulte</x:v>
      </x:c>
      <x:c r="E45" s="50" t="str">
        <x:v>illico LIBERTÉ — Week-end / Jour férié (-50 %)</x:v>
      </x:c>
      <x:c r="F45" s="52" t="n">
        <x:v>8.2</x:v>
      </x:c>
      <x:c r="G45" s="52" t="n">
        <x:v>12.4</x:v>
      </x:c>
      <x:c r="H45" s="60" t="n">
        <x:f>G45-F45</x:f>
        <x:v>4.200000000000001</x:v>
      </x:c>
      <x:c r="I45" s="50" t="str">
        <x:v>adult-illico-liberte-weekend</x:v>
      </x:c>
      <x:c r="J45" s="50" t="str">
        <x:v>lyon-part-dieu|tenay-hauteville</x:v>
      </x:c>
    </x:row>
    <x:row r="46">
      <x:c r="A46" s="50" t="str">
        <x:v>Lyon Part-Dieu</x:v>
      </x:c>
      <x:c r="B46" s="50" t="str">
        <x:v>Tenay-Hauteville</x:v>
      </x:c>
      <x:c r="C46" s="51" t="n">
        <x:v>65</x:v>
      </x:c>
      <x:c r="D46" s="50" t="str">
        <x:v>Adulte</x:v>
      </x:c>
      <x:c r="E46" s="50" t="str">
        <x:v>illico LIBERTÉ — Accompagnant, Week-end / Jour férié (-50 %)</x:v>
      </x:c>
      <x:c r="F46" s="52" t="n">
        <x:v>8.2</x:v>
      </x:c>
      <x:c r="G46" s="52" t="n">
        <x:v>12.4</x:v>
      </x:c>
      <x:c r="H46" s="60" t="n">
        <x:f>G46-F46</x:f>
        <x:v>4.200000000000001</x:v>
      </x:c>
      <x:c r="I46" s="50" t="str">
        <x:v>adult-illico-liberte-weekend-companion</x:v>
      </x:c>
      <x:c r="J46" s="50" t="str">
        <x:v>lyon-part-dieu|tenay-hauteville</x:v>
      </x:c>
    </x:row>
    <x:row r="47">
      <x:c r="A47" s="50" t="str">
        <x:v>Lyon Part-Dieu</x:v>
      </x:c>
      <x:c r="B47" s="50" t="str">
        <x:v>Tenay-Hauteville</x:v>
      </x:c>
      <x:c r="C47" s="51" t="n">
        <x:v>65</x:v>
      </x:c>
      <x:c r="D47" s="50" t="str">
        <x:v>Adulte</x:v>
      </x:c>
      <x:c r="E47" s="50" t="str">
        <x:v>illico LIBERTÉ JEUNES (-50 %)</x:v>
      </x:c>
      <x:c r="F47" s="52" t="n">
        <x:v>8.2</x:v>
      </x:c>
      <x:c r="G47" s="52" t="n">
        <x:v>12.4</x:v>
      </x:c>
      <x:c r="H47" s="60" t="n">
        <x:f>G47-F47</x:f>
        <x:v>4.200000000000001</x:v>
      </x:c>
      <x:c r="I47" s="50" t="str">
        <x:v>adult-illico-jeunes</x:v>
      </x:c>
      <x:c r="J47" s="50" t="str">
        <x:v>lyon-part-dieu|tenay-hauteville</x:v>
      </x:c>
    </x:row>
    <x:row r="48">
      <x:c r="A48" s="50" t="str">
        <x:v>Lyon Part-Dieu</x:v>
      </x:c>
      <x:c r="B48" s="50" t="str">
        <x:v>Tenay-Hauteville</x:v>
      </x:c>
      <x:c r="C48" s="51" t="n">
        <x:v>65</x:v>
      </x:c>
      <x:c r="D48" s="50" t="str">
        <x:v>Adulte</x:v>
      </x:c>
      <x:c r="E48" s="50" t="str">
        <x:v>Carte Liberté SNCF (-25 %)</x:v>
      </x:c>
      <x:c r="F48" s="52" t="n">
        <x:v>12.3</x:v>
      </x:c>
      <x:c r="G48" s="52" t="n">
        <x:v>18.6</x:v>
      </x:c>
      <x:c r="H48" s="60" t="n">
        <x:f>G48-F48</x:f>
        <x:v>6.300000000000001</x:v>
      </x:c>
      <x:c r="I48" s="50" t="str">
        <x:v>adult-liberte-nationale</x:v>
      </x:c>
      <x:c r="J48" s="50" t="str">
        <x:v>lyon-part-dieu|tenay-hauteville</x:v>
      </x:c>
    </x:row>
    <x:row r="49">
      <x:c r="A49" s="50" t="str">
        <x:v>Lyon Part-Dieu</x:v>
      </x:c>
      <x:c r="B49" s="50" t="str">
        <x:v>Tenay-Hauteville</x:v>
      </x:c>
      <x:c r="C49" s="51" t="n">
        <x:v>65</x:v>
      </x:c>
      <x:c r="D49" s="50" t="str">
        <x:v>Adulte</x:v>
      </x:c>
      <x:c r="E49" s="50" t="str">
        <x:v>Carte Familles Nombreuses (-30 %)</x:v>
      </x:c>
      <x:c r="F49" s="52" t="n">
        <x:v>9.3</x:v>
      </x:c>
      <x:c r="G49" s="52" t="n">
        <x:v>15.9</x:v>
      </x:c>
      <x:c r="H49" s="60" t="n">
        <x:f>G49-F49</x:f>
        <x:v>6.6</x:v>
      </x:c>
      <x:c r="I49" s="50" t="str">
        <x:v>adult-famille-nombreuse-30</x:v>
      </x:c>
      <x:c r="J49" s="50" t="str">
        <x:v>lyon-part-dieu|tenay-hauteville</x:v>
      </x:c>
    </x:row>
    <x:row r="50">
      <x:c r="A50" s="50" t="str">
        <x:v>Lyon Part-Dieu</x:v>
      </x:c>
      <x:c r="B50" s="50" t="str">
        <x:v>Tenay-Hauteville</x:v>
      </x:c>
      <x:c r="C50" s="51" t="n">
        <x:v>65</x:v>
      </x:c>
      <x:c r="D50" s="50" t="str">
        <x:v>Adulte</x:v>
      </x:c>
      <x:c r="E50" s="50" t="str">
        <x:v>Carte Familles Nombreuses (-40 %)</x:v>
      </x:c>
      <x:c r="F50" s="52" t="n">
        <x:v>8</x:v>
      </x:c>
      <x:c r="G50" s="52" t="n">
        <x:v>14.6</x:v>
      </x:c>
      <x:c r="H50" s="60" t="n">
        <x:f>G50-F50</x:f>
        <x:v>6.6</x:v>
      </x:c>
      <x:c r="I50" s="50" t="str">
        <x:v>adult-famille-nombreuse-40</x:v>
      </x:c>
      <x:c r="J50" s="50" t="str">
        <x:v>lyon-part-dieu|tenay-hauteville</x:v>
      </x:c>
    </x:row>
    <x:row r="51">
      <x:c r="A51" s="50" t="str">
        <x:v>Lyon Part-Dieu</x:v>
      </x:c>
      <x:c r="B51" s="50" t="str">
        <x:v>Tenay-Hauteville</x:v>
      </x:c>
      <x:c r="C51" s="51" t="n">
        <x:v>65</x:v>
      </x:c>
      <x:c r="D51" s="50" t="str">
        <x:v>Adulte</x:v>
      </x:c>
      <x:c r="E51" s="50" t="str">
        <x:v>Carte Familles Nombreuses (-50 %)</x:v>
      </x:c>
      <x:c r="F51" s="52" t="n">
        <x:v>6.6</x:v>
      </x:c>
      <x:c r="G51" s="52" t="n">
        <x:v>13.2</x:v>
      </x:c>
      <x:c r="H51" s="60" t="n">
        <x:f>G51-F51</x:f>
        <x:v>6.6</x:v>
      </x:c>
      <x:c r="I51" s="50" t="str">
        <x:v>adult-famille-nombreuse-50</x:v>
      </x:c>
      <x:c r="J51" s="50" t="str">
        <x:v>lyon-part-dieu|tenay-hauteville</x:v>
      </x:c>
    </x:row>
    <x:row r="52">
      <x:c r="A52" s="50" t="str">
        <x:v>Lyon Part-Dieu</x:v>
      </x:c>
      <x:c r="B52" s="50" t="str">
        <x:v>Tenay-Hauteville</x:v>
      </x:c>
      <x:c r="C52" s="51" t="n">
        <x:v>65</x:v>
      </x:c>
      <x:c r="D52" s="50" t="str">
        <x:v>Adulte</x:v>
      </x:c>
      <x:c r="E52" s="50" t="str">
        <x:v>Carte Familles Nombreuses (-75 %)</x:v>
      </x:c>
      <x:c r="F52" s="52" t="n">
        <x:v>3.3</x:v>
      </x:c>
      <x:c r="G52" s="52" t="n">
        <x:v>9.9</x:v>
      </x:c>
      <x:c r="H52" s="60" t="n">
        <x:f>G52-F52</x:f>
        <x:v>6.6000000000000005</x:v>
      </x:c>
      <x:c r="I52" s="50" t="str">
        <x:v>adult-famille-nombreuse-75</x:v>
      </x:c>
      <x:c r="J52" s="50" t="str">
        <x:v>lyon-part-dieu|tenay-hauteville</x:v>
      </x:c>
    </x:row>
    <x:row r="53">
      <x:c r="A53" s="50" t="str">
        <x:v>Lyon Part-Dieu</x:v>
      </x:c>
      <x:c r="B53" s="50" t="str">
        <x:v>Tenay-Hauteville</x:v>
      </x:c>
      <x:c r="C53" s="51" t="n">
        <x:v>65</x:v>
      </x:c>
      <x:c r="D53" s="50" t="str">
        <x:v>Adulte</x:v>
      </x:c>
      <x:c r="E53" s="50" t="str">
        <x:v>Carte Militaire (-75 %)</x:v>
      </x:c>
      <x:c r="F53" s="52" t="n">
        <x:v>3.3</x:v>
      </x:c>
      <x:c r="G53" s="52" t="n">
        <x:v>9.9</x:v>
      </x:c>
      <x:c r="H53" s="60" t="n">
        <x:f>G53-F53</x:f>
        <x:v>6.6000000000000005</x:v>
      </x:c>
      <x:c r="I53" s="50" t="str">
        <x:v>adult-military</x:v>
      </x:c>
      <x:c r="J53" s="50" t="str">
        <x:v>lyon-part-dieu|tenay-hauteville</x:v>
      </x:c>
    </x:row>
    <x:row r="54">
      <x:c r="A54" s="50" t="str">
        <x:v>Lyon Part-Dieu</x:v>
      </x:c>
      <x:c r="B54" s="50" t="str">
        <x:v>Tenay-Hauteville</x:v>
      </x:c>
      <x:c r="C54" s="51" t="n">
        <x:v>65</x:v>
      </x:c>
      <x:c r="D54" s="50" t="str">
        <x:v>Adulte</x:v>
      </x:c>
      <x:c r="E54" s="50" t="str">
        <x:v>Carte Famille Militaire (-40 %)</x:v>
      </x:c>
      <x:c r="F54" s="52" t="n">
        <x:v>9.8</x:v>
      </x:c>
      <x:c r="G54" s="52" t="n">
        <x:v>14.9</x:v>
      </x:c>
      <x:c r="H54" s="60" t="n">
        <x:f>G54-F54</x:f>
        <x:v>5.1</x:v>
      </x:c>
      <x:c r="I54" s="50" t="str">
        <x:v>adult-family-military</x:v>
      </x:c>
      <x:c r="J54" s="50" t="str">
        <x:v>lyon-part-dieu|tenay-hauteville</x:v>
      </x:c>
    </x:row>
    <x:row r="55">
      <x:c r="A55" s="50" t="str">
        <x:v>Lyon Part-Dieu</x:v>
      </x:c>
      <x:c r="B55" s="50" t="str">
        <x:v>Tenay-Hauteville</x:v>
      </x:c>
      <x:c r="C55" s="51" t="n">
        <x:v>65</x:v>
      </x:c>
      <x:c r="D55" s="50" t="str">
        <x:v>Enfant 4–11 ans</x:v>
      </x:c>
      <x:c r="E55" s="50" t="str">
        <x:v>Aucune — Tarif Enfant 4–11 ans</x:v>
      </x:c>
      <x:c r="F55" s="52" t="n">
        <x:v>8.2</x:v>
      </x:c>
      <x:c r="G55" s="52" t="n">
        <x:v>12.4</x:v>
      </x:c>
      <x:c r="H55" s="60" t="n">
        <x:f>G55-F55</x:f>
        <x:v>4.200000000000001</x:v>
      </x:c>
      <x:c r="I55" s="50" t="str">
        <x:v>child-none</x:v>
      </x:c>
      <x:c r="J55" s="50" t="str">
        <x:v>lyon-part-dieu|tenay-hauteville</x:v>
      </x:c>
    </x:row>
    <x:row r="56">
      <x:c r="A56" s="50" t="str">
        <x:v>Lyon Part-Dieu</x:v>
      </x:c>
      <x:c r="B56" s="50" t="str">
        <x:v>Tenay-Hauteville</x:v>
      </x:c>
      <x:c r="C56" s="51" t="n">
        <x:v>65</x:v>
      </x:c>
      <x:c r="D56" s="50" t="str">
        <x:v>Enfant 4–11 ans</x:v>
      </x:c>
      <x:c r="E56" s="50" t="str">
        <x:v>illico LIBERTÉ — Accompagnant, Week-end / Jour férié</x:v>
      </x:c>
      <x:c r="F56" s="52" t="n">
        <x:v>4.1</x:v>
      </x:c>
      <x:c r="G56" s="52" t="n">
        <x:v>6.2</x:v>
      </x:c>
      <x:c r="H56" s="60" t="n">
        <x:f>G56-F56</x:f>
        <x:v>2.1000000000000005</x:v>
      </x:c>
      <x:c r="I56" s="50" t="str">
        <x:v>child-illico-liberte-weekend-companion</x:v>
      </x:c>
      <x:c r="J56" s="50" t="str">
        <x:v>lyon-part-dieu|tenay-hauteville</x:v>
      </x:c>
    </x:row>
    <x:row r="57">
      <x:c r="A57" s="50" t="str">
        <x:v>Lyon Part-Dieu</x:v>
      </x:c>
      <x:c r="B57" s="50" t="str">
        <x:v>Tenay-Hauteville</x:v>
      </x:c>
      <x:c r="C57" s="51" t="n">
        <x:v>65</x:v>
      </x:c>
      <x:c r="D57" s="50" t="str">
        <x:v>Enfant 4–11 ans</x:v>
      </x:c>
      <x:c r="E57" s="50" t="str">
        <x:v>Carte Famille Militaire</x:v>
      </x:c>
      <x:c r="F57" s="52" t="n">
        <x:v>4.9</x:v>
      </x:c>
      <x:c r="G57" s="52" t="n">
        <x:v>7.5</x:v>
      </x:c>
      <x:c r="H57" s="60" t="n">
        <x:f>G57-F57</x:f>
        <x:v>2.5999999999999996</x:v>
      </x:c>
      <x:c r="I57" s="50" t="str">
        <x:v>child-family-military</x:v>
      </x:c>
      <x:c r="J57" s="50" t="str">
        <x:v>lyon-part-dieu|tenay-hauteville</x:v>
      </x:c>
    </x:row>
    <x:row r="58">
      <x:c r="A58" s="50" t="str">
        <x:v>Lyon Part-Dieu</x:v>
      </x:c>
      <x:c r="B58" s="50" t="str">
        <x:v>Tenay-Hauteville</x:v>
      </x:c>
      <x:c r="C58" s="51" t="n">
        <x:v>65</x:v>
      </x:c>
      <x:c r="D58" s="50" t="str">
        <x:v>Enfant 4–11 ans</x:v>
      </x:c>
      <x:c r="E58" s="50" t="str">
        <x:v>Carte Familles Nombreuses (-30 %)</x:v>
      </x:c>
      <x:c r="F58" s="52" t="n">
        <x:v>4.7</x:v>
      </x:c>
      <x:c r="G58" s="52" t="n">
        <x:v>8</x:v>
      </x:c>
      <x:c r="H58" s="60" t="n">
        <x:f>G58-F58</x:f>
        <x:v>3.3</x:v>
      </x:c>
      <x:c r="I58" s="50" t="str">
        <x:v>child-famille-nombreuse-30</x:v>
      </x:c>
      <x:c r="J58" s="50" t="str">
        <x:v>lyon-part-dieu|tenay-hauteville</x:v>
      </x:c>
    </x:row>
    <x:row r="59">
      <x:c r="A59" s="50" t="str">
        <x:v>Lyon Part-Dieu</x:v>
      </x:c>
      <x:c r="B59" s="50" t="str">
        <x:v>Tenay-Hauteville</x:v>
      </x:c>
      <x:c r="C59" s="51" t="n">
        <x:v>65</x:v>
      </x:c>
      <x:c r="D59" s="50" t="str">
        <x:v>Enfant 4–11 ans</x:v>
      </x:c>
      <x:c r="E59" s="50" t="str">
        <x:v>Carte Familles Nombreuses (-40 %)</x:v>
      </x:c>
      <x:c r="F59" s="52" t="n">
        <x:v>4</x:v>
      </x:c>
      <x:c r="G59" s="52" t="n">
        <x:v>7.3</x:v>
      </x:c>
      <x:c r="H59" s="60" t="n">
        <x:f>G59-F59</x:f>
        <x:v>3.3</x:v>
      </x:c>
      <x:c r="I59" s="50" t="str">
        <x:v>child-famille-nombreuse-40</x:v>
      </x:c>
      <x:c r="J59" s="50" t="str">
        <x:v>lyon-part-dieu|tenay-hauteville</x:v>
      </x:c>
    </x:row>
    <x:row r="60">
      <x:c r="A60" s="50" t="str">
        <x:v>Lyon Part-Dieu</x:v>
      </x:c>
      <x:c r="B60" s="50" t="str">
        <x:v>Tenay-Hauteville</x:v>
      </x:c>
      <x:c r="C60" s="51" t="n">
        <x:v>65</x:v>
      </x:c>
      <x:c r="D60" s="50" t="str">
        <x:v>Enfant 4–11 ans</x:v>
      </x:c>
      <x:c r="E60" s="50" t="str">
        <x:v>Carte Familles Nombreuses (-50 %)</x:v>
      </x:c>
      <x:c r="F60" s="52" t="n">
        <x:v>3.3</x:v>
      </x:c>
      <x:c r="G60" s="52" t="n">
        <x:v>6.6</x:v>
      </x:c>
      <x:c r="H60" s="60" t="n">
        <x:f>G60-F60</x:f>
        <x:v>3.3</x:v>
      </x:c>
      <x:c r="I60" s="50" t="str">
        <x:v>child-famille-nombreuse-50</x:v>
      </x:c>
      <x:c r="J60" s="50" t="str">
        <x:v>lyon-part-dieu|tenay-hauteville</x:v>
      </x:c>
    </x:row>
    <x:row r="61">
      <x:c r="A61" s="50" t="str">
        <x:v>Lyon Part-Dieu</x:v>
      </x:c>
      <x:c r="B61" s="50" t="str">
        <x:v>Tenay-Hauteville</x:v>
      </x:c>
      <x:c r="C61" s="51" t="n">
        <x:v>65</x:v>
      </x:c>
      <x:c r="D61" s="50" t="str">
        <x:v>Enfant 4–11 ans</x:v>
      </x:c>
      <x:c r="E61" s="50" t="str">
        <x:v>Carte Familles Nombreuses (-75 %)</x:v>
      </x:c>
      <x:c r="F61" s="52" t="n">
        <x:v>1.7</x:v>
      </x:c>
      <x:c r="G61" s="52" t="n">
        <x:v>5</x:v>
      </x:c>
      <x:c r="H61" s="60" t="n">
        <x:f>G61-F61</x:f>
        <x:v>3.3</x:v>
      </x:c>
      <x:c r="I61" s="50" t="str">
        <x:v>child-famille-nombreuse-75</x:v>
      </x:c>
      <x:c r="J61" s="50" t="str">
        <x:v>lyon-part-dieu|tenay-hauteville</x:v>
      </x:c>
    </x:row>
    <x:row r="62">
      <x:c r="A62" s="50" t="str">
        <x:v>Lyon Part-Dieu</x:v>
      </x:c>
      <x:c r="B62" s="50" t="str">
        <x:v>Virieu-le-Grand – Belley</x:v>
      </x:c>
      <x:c r="C62" s="51" t="n">
        <x:v>86</x:v>
      </x:c>
      <x:c r="D62" s="50" t="str">
        <x:v>Adulte</x:v>
      </x:c>
      <x:c r="E62" s="50" t="str">
        <x:v>Aucune — Plein tarif</x:v>
      </x:c>
      <x:c r="F62" s="52" t="n">
        <x:v>20.2</x:v>
      </x:c>
      <x:c r="G62" s="52" t="n">
        <x:v>30.7</x:v>
      </x:c>
      <x:c r="H62" s="60" t="n">
        <x:f>G62-F62</x:f>
        <x:v>10.5</x:v>
      </x:c>
      <x:c r="I62" s="50" t="str">
        <x:v>adult-none</x:v>
      </x:c>
      <x:c r="J62" s="50" t="str">
        <x:v>lyon-part-dieu|virieu-le-grand-belley</x:v>
      </x:c>
    </x:row>
    <x:row r="63">
      <x:c r="A63" s="50" t="str">
        <x:v>Lyon Part-Dieu</x:v>
      </x:c>
      <x:c r="B63" s="50" t="str">
        <x:v>Virieu-le-Grand – Belley</x:v>
      </x:c>
      <x:c r="C63" s="51" t="n">
        <x:v>86</x:v>
      </x:c>
      <x:c r="D63" s="50" t="str">
        <x:v>Adulte</x:v>
      </x:c>
      <x:c r="E63" s="50" t="str">
        <x:v>illico LIBERTÉ — Semaine (-25 %)</x:v>
      </x:c>
      <x:c r="F63" s="52" t="n">
        <x:v>15.2</x:v>
      </x:c>
      <x:c r="G63" s="52" t="n">
        <x:v>23.1</x:v>
      </x:c>
      <x:c r="H63" s="60" t="n">
        <x:f>G63-F63</x:f>
        <x:v>7.900000000000002</x:v>
      </x:c>
      <x:c r="I63" s="50" t="str">
        <x:v>adult-illico-liberte-weekday</x:v>
      </x:c>
      <x:c r="J63" s="50" t="str">
        <x:v>lyon-part-dieu|virieu-le-grand-belley</x:v>
      </x:c>
    </x:row>
    <x:row r="64">
      <x:c r="A64" s="50" t="str">
        <x:v>Lyon Part-Dieu</x:v>
      </x:c>
      <x:c r="B64" s="50" t="str">
        <x:v>Virieu-le-Grand – Belley</x:v>
      </x:c>
      <x:c r="C64" s="51" t="n">
        <x:v>86</x:v>
      </x:c>
      <x:c r="D64" s="50" t="str">
        <x:v>Adulte</x:v>
      </x:c>
      <x:c r="E64" s="50" t="str">
        <x:v>illico LIBERTÉ — Week-end / Jour férié (-50 %)</x:v>
      </x:c>
      <x:c r="F64" s="52" t="n">
        <x:v>10.1</x:v>
      </x:c>
      <x:c r="G64" s="52" t="n">
        <x:v>15.4</x:v>
      </x:c>
      <x:c r="H64" s="60" t="n">
        <x:f>G64-F64</x:f>
        <x:v>5.300000000000001</x:v>
      </x:c>
      <x:c r="I64" s="50" t="str">
        <x:v>adult-illico-liberte-weekend</x:v>
      </x:c>
      <x:c r="J64" s="50" t="str">
        <x:v>lyon-part-dieu|virieu-le-grand-belley</x:v>
      </x:c>
    </x:row>
    <x:row r="65">
      <x:c r="A65" s="50" t="str">
        <x:v>Lyon Part-Dieu</x:v>
      </x:c>
      <x:c r="B65" s="50" t="str">
        <x:v>Virieu-le-Grand – Belley</x:v>
      </x:c>
      <x:c r="C65" s="51" t="n">
        <x:v>86</x:v>
      </x:c>
      <x:c r="D65" s="50" t="str">
        <x:v>Adulte</x:v>
      </x:c>
      <x:c r="E65" s="50" t="str">
        <x:v>illico LIBERTÉ — Accompagnant, Week-end / Jour férié (-50 %)</x:v>
      </x:c>
      <x:c r="F65" s="52" t="n">
        <x:v>10.1</x:v>
      </x:c>
      <x:c r="G65" s="52" t="n">
        <x:v>15.4</x:v>
      </x:c>
      <x:c r="H65" s="60" t="n">
        <x:f>G65-F65</x:f>
        <x:v>5.300000000000001</x:v>
      </x:c>
      <x:c r="I65" s="50" t="str">
        <x:v>adult-illico-liberte-weekend-companion</x:v>
      </x:c>
      <x:c r="J65" s="50" t="str">
        <x:v>lyon-part-dieu|virieu-le-grand-belley</x:v>
      </x:c>
    </x:row>
    <x:row r="66">
      <x:c r="A66" s="50" t="str">
        <x:v>Lyon Part-Dieu</x:v>
      </x:c>
      <x:c r="B66" s="50" t="str">
        <x:v>Virieu-le-Grand – Belley</x:v>
      </x:c>
      <x:c r="C66" s="51" t="n">
        <x:v>86</x:v>
      </x:c>
      <x:c r="D66" s="50" t="str">
        <x:v>Adulte</x:v>
      </x:c>
      <x:c r="E66" s="50" t="str">
        <x:v>illico LIBERTÉ JEUNES (-50 %)</x:v>
      </x:c>
      <x:c r="F66" s="52" t="n">
        <x:v>10.1</x:v>
      </x:c>
      <x:c r="G66" s="52" t="n">
        <x:v>15.4</x:v>
      </x:c>
      <x:c r="H66" s="60" t="n">
        <x:f>G66-F66</x:f>
        <x:v>5.300000000000001</x:v>
      </x:c>
      <x:c r="I66" s="50" t="str">
        <x:v>adult-illico-jeunes</x:v>
      </x:c>
      <x:c r="J66" s="50" t="str">
        <x:v>lyon-part-dieu|virieu-le-grand-belley</x:v>
      </x:c>
    </x:row>
    <x:row r="67">
      <x:c r="A67" s="50" t="str">
        <x:v>Lyon Part-Dieu</x:v>
      </x:c>
      <x:c r="B67" s="50" t="str">
        <x:v>Virieu-le-Grand – Belley</x:v>
      </x:c>
      <x:c r="C67" s="51" t="n">
        <x:v>86</x:v>
      </x:c>
      <x:c r="D67" s="50" t="str">
        <x:v>Adulte</x:v>
      </x:c>
      <x:c r="E67" s="50" t="str">
        <x:v>Carte Liberté SNCF (-25 %)</x:v>
      </x:c>
      <x:c r="F67" s="52" t="n">
        <x:v>15.2</x:v>
      </x:c>
      <x:c r="G67" s="52" t="n">
        <x:v>23.1</x:v>
      </x:c>
      <x:c r="H67" s="60" t="n">
        <x:f>G67-F67</x:f>
        <x:v>7.900000000000002</x:v>
      </x:c>
      <x:c r="I67" s="50" t="str">
        <x:v>adult-liberte-nationale</x:v>
      </x:c>
      <x:c r="J67" s="50" t="str">
        <x:v>lyon-part-dieu|virieu-le-grand-belley</x:v>
      </x:c>
    </x:row>
    <x:row r="68">
      <x:c r="A68" s="50" t="str">
        <x:v>Lyon Part-Dieu</x:v>
      </x:c>
      <x:c r="B68" s="50" t="str">
        <x:v>Virieu-le-Grand – Belley</x:v>
      </x:c>
      <x:c r="C68" s="51" t="n">
        <x:v>86</x:v>
      </x:c>
      <x:c r="D68" s="50" t="str">
        <x:v>Adulte</x:v>
      </x:c>
      <x:c r="E68" s="50" t="str">
        <x:v>Carte Familles Nombreuses (-30 %)</x:v>
      </x:c>
      <x:c r="F68" s="52" t="n">
        <x:v>11.5</x:v>
      </x:c>
      <x:c r="G68" s="52" t="n">
        <x:v>19.7</x:v>
      </x:c>
      <x:c r="H68" s="60" t="n">
        <x:f>G68-F68</x:f>
        <x:v>8.2</x:v>
      </x:c>
      <x:c r="I68" s="50" t="str">
        <x:v>adult-famille-nombreuse-30</x:v>
      </x:c>
      <x:c r="J68" s="50" t="str">
        <x:v>lyon-part-dieu|virieu-le-grand-belley</x:v>
      </x:c>
    </x:row>
    <x:row r="69">
      <x:c r="A69" s="50" t="str">
        <x:v>Lyon Part-Dieu</x:v>
      </x:c>
      <x:c r="B69" s="50" t="str">
        <x:v>Virieu-le-Grand – Belley</x:v>
      </x:c>
      <x:c r="C69" s="51" t="n">
        <x:v>86</x:v>
      </x:c>
      <x:c r="D69" s="50" t="str">
        <x:v>Adulte</x:v>
      </x:c>
      <x:c r="E69" s="50" t="str">
        <x:v>Carte Familles Nombreuses (-40 %)</x:v>
      </x:c>
      <x:c r="F69" s="52" t="n">
        <x:v>9.8</x:v>
      </x:c>
      <x:c r="G69" s="52" t="n">
        <x:v>18</x:v>
      </x:c>
      <x:c r="H69" s="60" t="n">
        <x:f>G69-F69</x:f>
        <x:v>8.2</x:v>
      </x:c>
      <x:c r="I69" s="50" t="str">
        <x:v>adult-famille-nombreuse-40</x:v>
      </x:c>
      <x:c r="J69" s="50" t="str">
        <x:v>lyon-part-dieu|virieu-le-grand-belley</x:v>
      </x:c>
    </x:row>
    <x:row r="70">
      <x:c r="A70" s="50" t="str">
        <x:v>Lyon Part-Dieu</x:v>
      </x:c>
      <x:c r="B70" s="50" t="str">
        <x:v>Virieu-le-Grand – Belley</x:v>
      </x:c>
      <x:c r="C70" s="51" t="n">
        <x:v>86</x:v>
      </x:c>
      <x:c r="D70" s="50" t="str">
        <x:v>Adulte</x:v>
      </x:c>
      <x:c r="E70" s="50" t="str">
        <x:v>Carte Familles Nombreuses (-50 %)</x:v>
      </x:c>
      <x:c r="F70" s="52" t="n">
        <x:v>8.2</x:v>
      </x:c>
      <x:c r="G70" s="52" t="n">
        <x:v>16.4</x:v>
      </x:c>
      <x:c r="H70" s="60" t="n">
        <x:f>G70-F70</x:f>
        <x:v>8.2</x:v>
      </x:c>
      <x:c r="I70" s="50" t="str">
        <x:v>adult-famille-nombreuse-50</x:v>
      </x:c>
      <x:c r="J70" s="50" t="str">
        <x:v>lyon-part-dieu|virieu-le-grand-belley</x:v>
      </x:c>
    </x:row>
    <x:row r="71">
      <x:c r="A71" s="50" t="str">
        <x:v>Lyon Part-Dieu</x:v>
      </x:c>
      <x:c r="B71" s="50" t="str">
        <x:v>Virieu-le-Grand – Belley</x:v>
      </x:c>
      <x:c r="C71" s="51" t="n">
        <x:v>86</x:v>
      </x:c>
      <x:c r="D71" s="50" t="str">
        <x:v>Adulte</x:v>
      </x:c>
      <x:c r="E71" s="50" t="str">
        <x:v>Carte Familles Nombreuses (-75 %)</x:v>
      </x:c>
      <x:c r="F71" s="52" t="n">
        <x:v>4.1</x:v>
      </x:c>
      <x:c r="G71" s="52" t="n">
        <x:v>12.3</x:v>
      </x:c>
      <x:c r="H71" s="60" t="n">
        <x:f>G71-F71</x:f>
        <x:v>8.200000000000001</x:v>
      </x:c>
      <x:c r="I71" s="50" t="str">
        <x:v>adult-famille-nombreuse-75</x:v>
      </x:c>
      <x:c r="J71" s="50" t="str">
        <x:v>lyon-part-dieu|virieu-le-grand-belley</x:v>
      </x:c>
    </x:row>
    <x:row r="72">
      <x:c r="A72" s="50" t="str">
        <x:v>Lyon Part-Dieu</x:v>
      </x:c>
      <x:c r="B72" s="50" t="str">
        <x:v>Virieu-le-Grand – Belley</x:v>
      </x:c>
      <x:c r="C72" s="51" t="n">
        <x:v>86</x:v>
      </x:c>
      <x:c r="D72" s="50" t="str">
        <x:v>Adulte</x:v>
      </x:c>
      <x:c r="E72" s="50" t="str">
        <x:v>Carte Militaire (-75 %)</x:v>
      </x:c>
      <x:c r="F72" s="52" t="n">
        <x:v>4.1</x:v>
      </x:c>
      <x:c r="G72" s="52" t="n">
        <x:v>12.3</x:v>
      </x:c>
      <x:c r="H72" s="60" t="n">
        <x:f>G72-F72</x:f>
        <x:v>8.200000000000001</x:v>
      </x:c>
      <x:c r="I72" s="50" t="str">
        <x:v>adult-military</x:v>
      </x:c>
      <x:c r="J72" s="50" t="str">
        <x:v>lyon-part-dieu|virieu-le-grand-belley</x:v>
      </x:c>
    </x:row>
    <x:row r="73">
      <x:c r="A73" s="50" t="str">
        <x:v>Lyon Part-Dieu</x:v>
      </x:c>
      <x:c r="B73" s="50" t="str">
        <x:v>Virieu-le-Grand – Belley</x:v>
      </x:c>
      <x:c r="C73" s="51" t="n">
        <x:v>86</x:v>
      </x:c>
      <x:c r="D73" s="50" t="str">
        <x:v>Adulte</x:v>
      </x:c>
      <x:c r="E73" s="50" t="str">
        <x:v>Carte Famille Militaire (-40 %)</x:v>
      </x:c>
      <x:c r="F73" s="52" t="n">
        <x:v>12.2</x:v>
      </x:c>
      <x:c r="G73" s="52" t="n">
        <x:v>18.5</x:v>
      </x:c>
      <x:c r="H73" s="60" t="n">
        <x:f>G73-F73</x:f>
        <x:v>6.300000000000001</x:v>
      </x:c>
      <x:c r="I73" s="50" t="str">
        <x:v>adult-family-military</x:v>
      </x:c>
      <x:c r="J73" s="50" t="str">
        <x:v>lyon-part-dieu|virieu-le-grand-belley</x:v>
      </x:c>
    </x:row>
    <x:row r="74">
      <x:c r="A74" s="50" t="str">
        <x:v>Lyon Part-Dieu</x:v>
      </x:c>
      <x:c r="B74" s="50" t="str">
        <x:v>Virieu-le-Grand – Belley</x:v>
      </x:c>
      <x:c r="C74" s="51" t="n">
        <x:v>86</x:v>
      </x:c>
      <x:c r="D74" s="50" t="str">
        <x:v>Enfant 4–11 ans</x:v>
      </x:c>
      <x:c r="E74" s="50" t="str">
        <x:v>Aucune — Tarif Enfant 4–11 ans</x:v>
      </x:c>
      <x:c r="F74" s="52" t="n">
        <x:v>10.1</x:v>
      </x:c>
      <x:c r="G74" s="52" t="n">
        <x:v>15.4</x:v>
      </x:c>
      <x:c r="H74" s="60" t="n">
        <x:f>G74-F74</x:f>
        <x:v>5.300000000000001</x:v>
      </x:c>
      <x:c r="I74" s="50" t="str">
        <x:v>child-none</x:v>
      </x:c>
      <x:c r="J74" s="50" t="str">
        <x:v>lyon-part-dieu|virieu-le-grand-belley</x:v>
      </x:c>
    </x:row>
    <x:row r="75">
      <x:c r="A75" s="50" t="str">
        <x:v>Lyon Part-Dieu</x:v>
      </x:c>
      <x:c r="B75" s="50" t="str">
        <x:v>Virieu-le-Grand – Belley</x:v>
      </x:c>
      <x:c r="C75" s="51" t="n">
        <x:v>86</x:v>
      </x:c>
      <x:c r="D75" s="50" t="str">
        <x:v>Enfant 4–11 ans</x:v>
      </x:c>
      <x:c r="E75" s="50" t="str">
        <x:v>illico LIBERTÉ — Accompagnant, Week-end / Jour férié</x:v>
      </x:c>
      <x:c r="F75" s="52" t="n">
        <x:v>5.1</x:v>
      </x:c>
      <x:c r="G75" s="52" t="n">
        <x:v>7.7</x:v>
      </x:c>
      <x:c r="H75" s="60" t="n">
        <x:f>G75-F75</x:f>
        <x:v>2.6000000000000005</x:v>
      </x:c>
      <x:c r="I75" s="50" t="str">
        <x:v>child-illico-liberte-weekend-companion</x:v>
      </x:c>
      <x:c r="J75" s="50" t="str">
        <x:v>lyon-part-dieu|virieu-le-grand-belley</x:v>
      </x:c>
    </x:row>
    <x:row r="76">
      <x:c r="A76" s="50" t="str">
        <x:v>Lyon Part-Dieu</x:v>
      </x:c>
      <x:c r="B76" s="50" t="str">
        <x:v>Virieu-le-Grand – Belley</x:v>
      </x:c>
      <x:c r="C76" s="51" t="n">
        <x:v>86</x:v>
      </x:c>
      <x:c r="D76" s="50" t="str">
        <x:v>Enfant 4–11 ans</x:v>
      </x:c>
      <x:c r="E76" s="50" t="str">
        <x:v>Carte Famille Militaire</x:v>
      </x:c>
      <x:c r="F76" s="52" t="n">
        <x:v>6.1</x:v>
      </x:c>
      <x:c r="G76" s="52" t="n">
        <x:v>9.3</x:v>
      </x:c>
      <x:c r="H76" s="60" t="n">
        <x:f>G76-F76</x:f>
        <x:v>3.200000000000001</x:v>
      </x:c>
      <x:c r="I76" s="50" t="str">
        <x:v>child-family-military</x:v>
      </x:c>
      <x:c r="J76" s="50" t="str">
        <x:v>lyon-part-dieu|virieu-le-grand-belley</x:v>
      </x:c>
    </x:row>
    <x:row r="77">
      <x:c r="A77" s="50" t="str">
        <x:v>Lyon Part-Dieu</x:v>
      </x:c>
      <x:c r="B77" s="50" t="str">
        <x:v>Virieu-le-Grand – Belley</x:v>
      </x:c>
      <x:c r="C77" s="51" t="n">
        <x:v>86</x:v>
      </x:c>
      <x:c r="D77" s="50" t="str">
        <x:v>Enfant 4–11 ans</x:v>
      </x:c>
      <x:c r="E77" s="50" t="str">
        <x:v>Carte Familles Nombreuses (-30 %)</x:v>
      </x:c>
      <x:c r="F77" s="52" t="n">
        <x:v>5.8</x:v>
      </x:c>
      <x:c r="G77" s="52" t="n">
        <x:v>9.9</x:v>
      </x:c>
      <x:c r="H77" s="60" t="n">
        <x:f>G77-F77</x:f>
        <x:v>4.1000000000000005</x:v>
      </x:c>
      <x:c r="I77" s="50" t="str">
        <x:v>child-famille-nombreuse-30</x:v>
      </x:c>
      <x:c r="J77" s="50" t="str">
        <x:v>lyon-part-dieu|virieu-le-grand-belley</x:v>
      </x:c>
    </x:row>
    <x:row r="78">
      <x:c r="A78" s="50" t="str">
        <x:v>Lyon Part-Dieu</x:v>
      </x:c>
      <x:c r="B78" s="50" t="str">
        <x:v>Virieu-le-Grand – Belley</x:v>
      </x:c>
      <x:c r="C78" s="51" t="n">
        <x:v>86</x:v>
      </x:c>
      <x:c r="D78" s="50" t="str">
        <x:v>Enfant 4–11 ans</x:v>
      </x:c>
      <x:c r="E78" s="50" t="str">
        <x:v>Carte Familles Nombreuses (-40 %)</x:v>
      </x:c>
      <x:c r="F78" s="52" t="n">
        <x:v>4.9</x:v>
      </x:c>
      <x:c r="G78" s="52" t="n">
        <x:v>9</x:v>
      </x:c>
      <x:c r="H78" s="60" t="n">
        <x:f>G78-F78</x:f>
        <x:v>4.1</x:v>
      </x:c>
      <x:c r="I78" s="50" t="str">
        <x:v>child-famille-nombreuse-40</x:v>
      </x:c>
      <x:c r="J78" s="50" t="str">
        <x:v>lyon-part-dieu|virieu-le-grand-belley</x:v>
      </x:c>
    </x:row>
    <x:row r="79">
      <x:c r="A79" s="50" t="str">
        <x:v>Lyon Part-Dieu</x:v>
      </x:c>
      <x:c r="B79" s="50" t="str">
        <x:v>Virieu-le-Grand – Belley</x:v>
      </x:c>
      <x:c r="C79" s="51" t="n">
        <x:v>86</x:v>
      </x:c>
      <x:c r="D79" s="50" t="str">
        <x:v>Enfant 4–11 ans</x:v>
      </x:c>
      <x:c r="E79" s="50" t="str">
        <x:v>Carte Familles Nombreuses (-50 %)</x:v>
      </x:c>
      <x:c r="F79" s="52" t="n">
        <x:v>4.1</x:v>
      </x:c>
      <x:c r="G79" s="52" t="n">
        <x:v>8.2</x:v>
      </x:c>
      <x:c r="H79" s="60" t="n">
        <x:f>G79-F79</x:f>
        <x:v>4.1</x:v>
      </x:c>
      <x:c r="I79" s="50" t="str">
        <x:v>child-famille-nombreuse-50</x:v>
      </x:c>
      <x:c r="J79" s="50" t="str">
        <x:v>lyon-part-dieu|virieu-le-grand-belley</x:v>
      </x:c>
    </x:row>
    <x:row r="80">
      <x:c r="A80" s="50" t="str">
        <x:v>Lyon Part-Dieu</x:v>
      </x:c>
      <x:c r="B80" s="50" t="str">
        <x:v>Virieu-le-Grand – Belley</x:v>
      </x:c>
      <x:c r="C80" s="51" t="n">
        <x:v>86</x:v>
      </x:c>
      <x:c r="D80" s="50" t="str">
        <x:v>Enfant 4–11 ans</x:v>
      </x:c>
      <x:c r="E80" s="50" t="str">
        <x:v>Carte Familles Nombreuses (-75 %)</x:v>
      </x:c>
      <x:c r="F80" s="52" t="n">
        <x:v>2.1</x:v>
      </x:c>
      <x:c r="G80" s="52" t="n">
        <x:v>6.2</x:v>
      </x:c>
      <x:c r="H80" s="60" t="n">
        <x:f>G80-F80</x:f>
        <x:v>4.1</x:v>
      </x:c>
      <x:c r="I80" s="50" t="str">
        <x:v>child-famille-nombreuse-75</x:v>
      </x:c>
      <x:c r="J80" s="50" t="str">
        <x:v>lyon-part-dieu|virieu-le-grand-belley</x:v>
      </x:c>
    </x:row>
    <x:row r="81">
      <x:c r="A81" s="50" t="str">
        <x:v>Lyon Part-Dieu</x:v>
      </x:c>
      <x:c r="B81" s="50" t="str">
        <x:v>Culoz</x:v>
      </x:c>
      <x:c r="C81" s="51" t="n">
        <x:v>97</x:v>
      </x:c>
      <x:c r="D81" s="50" t="str">
        <x:v>Adulte</x:v>
      </x:c>
      <x:c r="E81" s="50" t="str">
        <x:v>Aucune — Plein tarif</x:v>
      </x:c>
      <x:c r="F81" s="52" t="n">
        <x:v>22.4</x:v>
      </x:c>
      <x:c r="G81" s="52" t="n">
        <x:v>34.1</x:v>
      </x:c>
      <x:c r="H81" s="60" t="n">
        <x:f>G81-F81</x:f>
        <x:v>11.700000000000003</x:v>
      </x:c>
      <x:c r="I81" s="50" t="str">
        <x:v>adult-none</x:v>
      </x:c>
      <x:c r="J81" s="50" t="str">
        <x:v>lyon-part-dieu|culoz</x:v>
      </x:c>
    </x:row>
    <x:row r="82">
      <x:c r="A82" s="50" t="str">
        <x:v>Lyon Part-Dieu</x:v>
      </x:c>
      <x:c r="B82" s="50" t="str">
        <x:v>Culoz</x:v>
      </x:c>
      <x:c r="C82" s="51" t="n">
        <x:v>97</x:v>
      </x:c>
      <x:c r="D82" s="50" t="str">
        <x:v>Adulte</x:v>
      </x:c>
      <x:c r="E82" s="50" t="str">
        <x:v>illico LIBERTÉ — Semaine (-25 %)</x:v>
      </x:c>
      <x:c r="F82" s="52" t="n">
        <x:v>16.8</x:v>
      </x:c>
      <x:c r="G82" s="52" t="n">
        <x:v>25.6</x:v>
      </x:c>
      <x:c r="H82" s="60" t="n">
        <x:f>G82-F82</x:f>
        <x:v>8.8</x:v>
      </x:c>
      <x:c r="I82" s="50" t="str">
        <x:v>adult-illico-liberte-weekday</x:v>
      </x:c>
      <x:c r="J82" s="50" t="str">
        <x:v>lyon-part-dieu|culoz</x:v>
      </x:c>
    </x:row>
    <x:row r="83">
      <x:c r="A83" s="50" t="str">
        <x:v>Lyon Part-Dieu</x:v>
      </x:c>
      <x:c r="B83" s="50" t="str">
        <x:v>Culoz</x:v>
      </x:c>
      <x:c r="C83" s="51" t="n">
        <x:v>97</x:v>
      </x:c>
      <x:c r="D83" s="50" t="str">
        <x:v>Adulte</x:v>
      </x:c>
      <x:c r="E83" s="50" t="str">
        <x:v>illico LIBERTÉ — Week-end / Jour férié (-50 %)</x:v>
      </x:c>
      <x:c r="F83" s="52" t="n">
        <x:v>11.2</x:v>
      </x:c>
      <x:c r="G83" s="52" t="n">
        <x:v>17.1</x:v>
      </x:c>
      <x:c r="H83" s="60" t="n">
        <x:f>G83-F83</x:f>
        <x:v>5.900000000000002</x:v>
      </x:c>
      <x:c r="I83" s="50" t="str">
        <x:v>adult-illico-liberte-weekend</x:v>
      </x:c>
      <x:c r="J83" s="50" t="str">
        <x:v>lyon-part-dieu|culoz</x:v>
      </x:c>
    </x:row>
    <x:row r="84">
      <x:c r="A84" s="50" t="str">
        <x:v>Lyon Part-Dieu</x:v>
      </x:c>
      <x:c r="B84" s="50" t="str">
        <x:v>Culoz</x:v>
      </x:c>
      <x:c r="C84" s="51" t="n">
        <x:v>97</x:v>
      </x:c>
      <x:c r="D84" s="50" t="str">
        <x:v>Adulte</x:v>
      </x:c>
      <x:c r="E84" s="50" t="str">
        <x:v>illico LIBERTÉ — Accompagnant, Week-end / Jour férié (-50 %)</x:v>
      </x:c>
      <x:c r="F84" s="52" t="n">
        <x:v>11.2</x:v>
      </x:c>
      <x:c r="G84" s="52" t="n">
        <x:v>17.1</x:v>
      </x:c>
      <x:c r="H84" s="60" t="n">
        <x:f>G84-F84</x:f>
        <x:v>5.900000000000002</x:v>
      </x:c>
      <x:c r="I84" s="50" t="str">
        <x:v>adult-illico-liberte-weekend-companion</x:v>
      </x:c>
      <x:c r="J84" s="50" t="str">
        <x:v>lyon-part-dieu|culoz</x:v>
      </x:c>
    </x:row>
    <x:row r="85">
      <x:c r="A85" s="50" t="str">
        <x:v>Lyon Part-Dieu</x:v>
      </x:c>
      <x:c r="B85" s="50" t="str">
        <x:v>Culoz</x:v>
      </x:c>
      <x:c r="C85" s="51" t="n">
        <x:v>97</x:v>
      </x:c>
      <x:c r="D85" s="50" t="str">
        <x:v>Adulte</x:v>
      </x:c>
      <x:c r="E85" s="50" t="str">
        <x:v>illico LIBERTÉ JEUNES (-50 %)</x:v>
      </x:c>
      <x:c r="F85" s="52" t="n">
        <x:v>11.2</x:v>
      </x:c>
      <x:c r="G85" s="52" t="n">
        <x:v>17.1</x:v>
      </x:c>
      <x:c r="H85" s="60" t="n">
        <x:f>G85-F85</x:f>
        <x:v>5.900000000000002</x:v>
      </x:c>
      <x:c r="I85" s="50" t="str">
        <x:v>adult-illico-jeunes</x:v>
      </x:c>
      <x:c r="J85" s="50" t="str">
        <x:v>lyon-part-dieu|culoz</x:v>
      </x:c>
    </x:row>
    <x:row r="86">
      <x:c r="A86" s="50" t="str">
        <x:v>Lyon Part-Dieu</x:v>
      </x:c>
      <x:c r="B86" s="50" t="str">
        <x:v>Culoz</x:v>
      </x:c>
      <x:c r="C86" s="51" t="n">
        <x:v>97</x:v>
      </x:c>
      <x:c r="D86" s="50" t="str">
        <x:v>Adulte</x:v>
      </x:c>
      <x:c r="E86" s="50" t="str">
        <x:v>Carte Liberté SNCF (-25 %)</x:v>
      </x:c>
      <x:c r="F86" s="52" t="n">
        <x:v>16.8</x:v>
      </x:c>
      <x:c r="G86" s="52" t="n">
        <x:v>25.6</x:v>
      </x:c>
      <x:c r="H86" s="60" t="n">
        <x:f>G86-F86</x:f>
        <x:v>8.8</x:v>
      </x:c>
      <x:c r="I86" s="50" t="str">
        <x:v>adult-liberte-nationale</x:v>
      </x:c>
      <x:c r="J86" s="50" t="str">
        <x:v>lyon-part-dieu|culoz</x:v>
      </x:c>
    </x:row>
    <x:row r="87">
      <x:c r="A87" s="50" t="str">
        <x:v>Lyon Part-Dieu</x:v>
      </x:c>
      <x:c r="B87" s="50" t="str">
        <x:v>Culoz</x:v>
      </x:c>
      <x:c r="C87" s="51" t="n">
        <x:v>97</x:v>
      </x:c>
      <x:c r="D87" s="50" t="str">
        <x:v>Adulte</x:v>
      </x:c>
      <x:c r="E87" s="50" t="str">
        <x:v>Carte Familles Nombreuses (-30 %)</x:v>
      </x:c>
      <x:c r="F87" s="52" t="n">
        <x:v>12.7</x:v>
      </x:c>
      <x:c r="G87" s="52" t="n">
        <x:v>21.8</x:v>
      </x:c>
      <x:c r="H87" s="60" t="n">
        <x:f>G87-F87</x:f>
        <x:v>9.100000000000001</x:v>
      </x:c>
      <x:c r="I87" s="50" t="str">
        <x:v>adult-famille-nombreuse-30</x:v>
      </x:c>
      <x:c r="J87" s="50" t="str">
        <x:v>lyon-part-dieu|culoz</x:v>
      </x:c>
    </x:row>
    <x:row r="88">
      <x:c r="A88" s="50" t="str">
        <x:v>Lyon Part-Dieu</x:v>
      </x:c>
      <x:c r="B88" s="50" t="str">
        <x:v>Culoz</x:v>
      </x:c>
      <x:c r="C88" s="51" t="n">
        <x:v>97</x:v>
      </x:c>
      <x:c r="D88" s="50" t="str">
        <x:v>Adulte</x:v>
      </x:c>
      <x:c r="E88" s="50" t="str">
        <x:v>Carte Familles Nombreuses (-40 %)</x:v>
      </x:c>
      <x:c r="F88" s="52" t="n">
        <x:v>10.9</x:v>
      </x:c>
      <x:c r="G88" s="52" t="n">
        <x:v>20</x:v>
      </x:c>
      <x:c r="H88" s="60" t="n">
        <x:f>G88-F88</x:f>
        <x:v>9.1</x:v>
      </x:c>
      <x:c r="I88" s="50" t="str">
        <x:v>adult-famille-nombreuse-40</x:v>
      </x:c>
      <x:c r="J88" s="50" t="str">
        <x:v>lyon-part-dieu|culoz</x:v>
      </x:c>
    </x:row>
    <x:row r="89">
      <x:c r="A89" s="50" t="str">
        <x:v>Lyon Part-Dieu</x:v>
      </x:c>
      <x:c r="B89" s="50" t="str">
        <x:v>Culoz</x:v>
      </x:c>
      <x:c r="C89" s="51" t="n">
        <x:v>97</x:v>
      </x:c>
      <x:c r="D89" s="50" t="str">
        <x:v>Adulte</x:v>
      </x:c>
      <x:c r="E89" s="50" t="str">
        <x:v>Carte Familles Nombreuses (-50 %)</x:v>
      </x:c>
      <x:c r="F89" s="52" t="n">
        <x:v>9.1</x:v>
      </x:c>
      <x:c r="G89" s="52" t="n">
        <x:v>18.2</x:v>
      </x:c>
      <x:c r="H89" s="60" t="n">
        <x:f>G89-F89</x:f>
        <x:v>9.1</x:v>
      </x:c>
      <x:c r="I89" s="50" t="str">
        <x:v>adult-famille-nombreuse-50</x:v>
      </x:c>
      <x:c r="J89" s="50" t="str">
        <x:v>lyon-part-dieu|culoz</x:v>
      </x:c>
    </x:row>
    <x:row r="90">
      <x:c r="A90" s="50" t="str">
        <x:v>Lyon Part-Dieu</x:v>
      </x:c>
      <x:c r="B90" s="50" t="str">
        <x:v>Culoz</x:v>
      </x:c>
      <x:c r="C90" s="51" t="n">
        <x:v>97</x:v>
      </x:c>
      <x:c r="D90" s="50" t="str">
        <x:v>Adulte</x:v>
      </x:c>
      <x:c r="E90" s="50" t="str">
        <x:v>Carte Familles Nombreuses (-75 %)</x:v>
      </x:c>
      <x:c r="F90" s="52" t="n">
        <x:v>4.6</x:v>
      </x:c>
      <x:c r="G90" s="52" t="n">
        <x:v>13.7</x:v>
      </x:c>
      <x:c r="H90" s="60" t="n">
        <x:f>G90-F90</x:f>
        <x:v>9.1</x:v>
      </x:c>
      <x:c r="I90" s="50" t="str">
        <x:v>adult-famille-nombreuse-75</x:v>
      </x:c>
      <x:c r="J90" s="50" t="str">
        <x:v>lyon-part-dieu|culoz</x:v>
      </x:c>
    </x:row>
    <x:row r="91">
      <x:c r="A91" s="50" t="str">
        <x:v>Lyon Part-Dieu</x:v>
      </x:c>
      <x:c r="B91" s="50" t="str">
        <x:v>Culoz</x:v>
      </x:c>
      <x:c r="C91" s="51" t="n">
        <x:v>97</x:v>
      </x:c>
      <x:c r="D91" s="50" t="str">
        <x:v>Adulte</x:v>
      </x:c>
      <x:c r="E91" s="50" t="str">
        <x:v>Carte Militaire (-75 %)</x:v>
      </x:c>
      <x:c r="F91" s="52" t="n">
        <x:v>4.6</x:v>
      </x:c>
      <x:c r="G91" s="52" t="n">
        <x:v>13.7</x:v>
      </x:c>
      <x:c r="H91" s="60" t="n">
        <x:f>G91-F91</x:f>
        <x:v>9.1</x:v>
      </x:c>
      <x:c r="I91" s="50" t="str">
        <x:v>adult-military</x:v>
      </x:c>
      <x:c r="J91" s="50" t="str">
        <x:v>lyon-part-dieu|culoz</x:v>
      </x:c>
    </x:row>
    <x:row r="92">
      <x:c r="A92" s="50" t="str">
        <x:v>Lyon Part-Dieu</x:v>
      </x:c>
      <x:c r="B92" s="50" t="str">
        <x:v>Culoz</x:v>
      </x:c>
      <x:c r="C92" s="51" t="n">
        <x:v>97</x:v>
      </x:c>
      <x:c r="D92" s="50" t="str">
        <x:v>Adulte</x:v>
      </x:c>
      <x:c r="E92" s="50" t="str">
        <x:v>Carte Famille Militaire (-40 %)</x:v>
      </x:c>
      <x:c r="F92" s="52" t="n">
        <x:v>13.5</x:v>
      </x:c>
      <x:c r="G92" s="52" t="n">
        <x:v>20.5</x:v>
      </x:c>
      <x:c r="H92" s="60" t="n">
        <x:f>G92-F92</x:f>
        <x:v>7</x:v>
      </x:c>
      <x:c r="I92" s="50" t="str">
        <x:v>adult-family-military</x:v>
      </x:c>
      <x:c r="J92" s="50" t="str">
        <x:v>lyon-part-dieu|culoz</x:v>
      </x:c>
    </x:row>
    <x:row r="93">
      <x:c r="A93" s="50" t="str">
        <x:v>Lyon Part-Dieu</x:v>
      </x:c>
      <x:c r="B93" s="50" t="str">
        <x:v>Culoz</x:v>
      </x:c>
      <x:c r="C93" s="51" t="n">
        <x:v>97</x:v>
      </x:c>
      <x:c r="D93" s="50" t="str">
        <x:v>Enfant 4–11 ans</x:v>
      </x:c>
      <x:c r="E93" s="50" t="str">
        <x:v>Aucune — Tarif Enfant 4–11 ans</x:v>
      </x:c>
      <x:c r="F93" s="52" t="n">
        <x:v>11.2</x:v>
      </x:c>
      <x:c r="G93" s="52" t="n">
        <x:v>17.1</x:v>
      </x:c>
      <x:c r="H93" s="60" t="n">
        <x:f>G93-F93</x:f>
        <x:v>5.900000000000002</x:v>
      </x:c>
      <x:c r="I93" s="50" t="str">
        <x:v>child-none</x:v>
      </x:c>
      <x:c r="J93" s="50" t="str">
        <x:v>lyon-part-dieu|culoz</x:v>
      </x:c>
    </x:row>
    <x:row r="94">
      <x:c r="A94" s="50" t="str">
        <x:v>Lyon Part-Dieu</x:v>
      </x:c>
      <x:c r="B94" s="50" t="str">
        <x:v>Culoz</x:v>
      </x:c>
      <x:c r="C94" s="51" t="n">
        <x:v>97</x:v>
      </x:c>
      <x:c r="D94" s="50" t="str">
        <x:v>Enfant 4–11 ans</x:v>
      </x:c>
      <x:c r="E94" s="50" t="str">
        <x:v>illico LIBERTÉ — Accompagnant, Week-end / Jour férié</x:v>
      </x:c>
      <x:c r="F94" s="52" t="n">
        <x:v>5.6</x:v>
      </x:c>
      <x:c r="G94" s="52" t="n">
        <x:v>8.6</x:v>
      </x:c>
      <x:c r="H94" s="60" t="n">
        <x:f>G94-F94</x:f>
        <x:v>3</x:v>
      </x:c>
      <x:c r="I94" s="50" t="str">
        <x:v>child-illico-liberte-weekend-companion</x:v>
      </x:c>
      <x:c r="J94" s="50" t="str">
        <x:v>lyon-part-dieu|culoz</x:v>
      </x:c>
    </x:row>
    <x:row r="95">
      <x:c r="A95" s="50" t="str">
        <x:v>Lyon Part-Dieu</x:v>
      </x:c>
      <x:c r="B95" s="50" t="str">
        <x:v>Culoz</x:v>
      </x:c>
      <x:c r="C95" s="51" t="n">
        <x:v>97</x:v>
      </x:c>
      <x:c r="D95" s="50" t="str">
        <x:v>Enfant 4–11 ans</x:v>
      </x:c>
      <x:c r="E95" s="50" t="str">
        <x:v>Carte Famille Militaire</x:v>
      </x:c>
      <x:c r="F95" s="52" t="n">
        <x:v>6.8</x:v>
      </x:c>
      <x:c r="G95" s="52" t="n">
        <x:v>10.3</x:v>
      </x:c>
      <x:c r="H95" s="60" t="n">
        <x:f>G95-F95</x:f>
        <x:v>3.500000000000001</x:v>
      </x:c>
      <x:c r="I95" s="50" t="str">
        <x:v>child-family-military</x:v>
      </x:c>
      <x:c r="J95" s="50" t="str">
        <x:v>lyon-part-dieu|culoz</x:v>
      </x:c>
    </x:row>
    <x:row r="96">
      <x:c r="A96" s="50" t="str">
        <x:v>Lyon Part-Dieu</x:v>
      </x:c>
      <x:c r="B96" s="50" t="str">
        <x:v>Culoz</x:v>
      </x:c>
      <x:c r="C96" s="51" t="n">
        <x:v>97</x:v>
      </x:c>
      <x:c r="D96" s="50" t="str">
        <x:v>Enfant 4–11 ans</x:v>
      </x:c>
      <x:c r="E96" s="50" t="str">
        <x:v>Carte Familles Nombreuses (-30 %)</x:v>
      </x:c>
      <x:c r="F96" s="52" t="n">
        <x:v>6.4</x:v>
      </x:c>
      <x:c r="G96" s="52" t="n">
        <x:v>10.9</x:v>
      </x:c>
      <x:c r="H96" s="60" t="n">
        <x:f>G96-F96</x:f>
        <x:v>4.5</x:v>
      </x:c>
      <x:c r="I96" s="50" t="str">
        <x:v>child-famille-nombreuse-30</x:v>
      </x:c>
      <x:c r="J96" s="50" t="str">
        <x:v>lyon-part-dieu|culoz</x:v>
      </x:c>
    </x:row>
    <x:row r="97">
      <x:c r="A97" s="50" t="str">
        <x:v>Lyon Part-Dieu</x:v>
      </x:c>
      <x:c r="B97" s="50" t="str">
        <x:v>Culoz</x:v>
      </x:c>
      <x:c r="C97" s="51" t="n">
        <x:v>97</x:v>
      </x:c>
      <x:c r="D97" s="50" t="str">
        <x:v>Enfant 4–11 ans</x:v>
      </x:c>
      <x:c r="E97" s="50" t="str">
        <x:v>Carte Familles Nombreuses (-40 %)</x:v>
      </x:c>
      <x:c r="F97" s="52" t="n">
        <x:v>5.5</x:v>
      </x:c>
      <x:c r="G97" s="52" t="n">
        <x:v>10</x:v>
      </x:c>
      <x:c r="H97" s="60" t="n">
        <x:f>G97-F97</x:f>
        <x:v>4.5</x:v>
      </x:c>
      <x:c r="I97" s="50" t="str">
        <x:v>child-famille-nombreuse-40</x:v>
      </x:c>
      <x:c r="J97" s="50" t="str">
        <x:v>lyon-part-dieu|culoz</x:v>
      </x:c>
    </x:row>
    <x:row r="98">
      <x:c r="A98" s="50" t="str">
        <x:v>Lyon Part-Dieu</x:v>
      </x:c>
      <x:c r="B98" s="50" t="str">
        <x:v>Culoz</x:v>
      </x:c>
      <x:c r="C98" s="51" t="n">
        <x:v>97</x:v>
      </x:c>
      <x:c r="D98" s="50" t="str">
        <x:v>Enfant 4–11 ans</x:v>
      </x:c>
      <x:c r="E98" s="50" t="str">
        <x:v>Carte Familles Nombreuses (-50 %)</x:v>
      </x:c>
      <x:c r="F98" s="52" t="n">
        <x:v>4.6</x:v>
      </x:c>
      <x:c r="G98" s="52" t="n">
        <x:v>9.1</x:v>
      </x:c>
      <x:c r="H98" s="60" t="n">
        <x:f>G98-F98</x:f>
        <x:v>4.5</x:v>
      </x:c>
      <x:c r="I98" s="50" t="str">
        <x:v>child-famille-nombreuse-50</x:v>
      </x:c>
      <x:c r="J98" s="50" t="str">
        <x:v>lyon-part-dieu|culoz</x:v>
      </x:c>
    </x:row>
    <x:row r="99">
      <x:c r="A99" s="50" t="str">
        <x:v>Lyon Part-Dieu</x:v>
      </x:c>
      <x:c r="B99" s="50" t="str">
        <x:v>Culoz</x:v>
      </x:c>
      <x:c r="C99" s="51" t="n">
        <x:v>97</x:v>
      </x:c>
      <x:c r="D99" s="50" t="str">
        <x:v>Enfant 4–11 ans</x:v>
      </x:c>
      <x:c r="E99" s="50" t="str">
        <x:v>Carte Familles Nombreuses (-75 %)</x:v>
      </x:c>
      <x:c r="F99" s="52" t="n">
        <x:v>2.3</x:v>
      </x:c>
      <x:c r="G99" s="52" t="n">
        <x:v>6.9</x:v>
      </x:c>
      <x:c r="H99" s="60" t="n">
        <x:f>G99-F99</x:f>
        <x:v>4.6000000000000005</x:v>
      </x:c>
      <x:c r="I99" s="50" t="str">
        <x:v>child-famille-nombreuse-75</x:v>
      </x:c>
      <x:c r="J99" s="50" t="str">
        <x:v>lyon-part-dieu|culoz</x:v>
      </x:c>
    </x:row>
    <x:row r="100">
      <x:c r="A100" s="50" t="str">
        <x:v>Lyon Part-Dieu</x:v>
      </x:c>
      <x:c r="B100" s="50" t="str">
        <x:v>Seyssel – Corbonod</x:v>
      </x:c>
      <x:c r="C100" s="51" t="n">
        <x:v>112</x:v>
      </x:c>
      <x:c r="D100" s="50" t="str">
        <x:v>Adulte</x:v>
      </x:c>
      <x:c r="E100" s="50" t="str">
        <x:v>Aucune — Plein tarif</x:v>
      </x:c>
      <x:c r="F100" s="52" t="n">
        <x:v>25.8</x:v>
      </x:c>
      <x:c r="G100" s="52" t="n">
        <x:v>39.1</x:v>
      </x:c>
      <x:c r="H100" s="60" t="n">
        <x:f>G100-F100</x:f>
        <x:v>13.3</x:v>
      </x:c>
      <x:c r="I100" s="50" t="str">
        <x:v>adult-none</x:v>
      </x:c>
      <x:c r="J100" s="50" t="str">
        <x:v>lyon-part-dieu|seyssel-corbonod</x:v>
      </x:c>
    </x:row>
    <x:row r="101">
      <x:c r="A101" s="50" t="str">
        <x:v>Lyon Part-Dieu</x:v>
      </x:c>
      <x:c r="B101" s="50" t="str">
        <x:v>Seyssel – Corbonod</x:v>
      </x:c>
      <x:c r="C101" s="51" t="n">
        <x:v>112</x:v>
      </x:c>
      <x:c r="D101" s="50" t="str">
        <x:v>Adulte</x:v>
      </x:c>
      <x:c r="E101" s="50" t="str">
        <x:v>illico LIBERTÉ — Semaine (-25 %)</x:v>
      </x:c>
      <x:c r="F101" s="52" t="n">
        <x:v>19.4</x:v>
      </x:c>
      <x:c r="G101" s="52" t="n">
        <x:v>29.4</x:v>
      </x:c>
      <x:c r="H101" s="60" t="n">
        <x:f>G101-F101</x:f>
        <x:v>10</x:v>
      </x:c>
      <x:c r="I101" s="50" t="str">
        <x:v>adult-illico-liberte-weekday</x:v>
      </x:c>
      <x:c r="J101" s="50" t="str">
        <x:v>lyon-part-dieu|seyssel-corbonod</x:v>
      </x:c>
    </x:row>
    <x:row r="102">
      <x:c r="A102" s="50" t="str">
        <x:v>Lyon Part-Dieu</x:v>
      </x:c>
      <x:c r="B102" s="50" t="str">
        <x:v>Seyssel – Corbonod</x:v>
      </x:c>
      <x:c r="C102" s="51" t="n">
        <x:v>112</x:v>
      </x:c>
      <x:c r="D102" s="50" t="str">
        <x:v>Adulte</x:v>
      </x:c>
      <x:c r="E102" s="50" t="str">
        <x:v>illico LIBERTÉ — Week-end / Jour férié (-50 %)</x:v>
      </x:c>
      <x:c r="F102" s="52" t="n">
        <x:v>12.9</x:v>
      </x:c>
      <x:c r="G102" s="52" t="n">
        <x:v>19.6</x:v>
      </x:c>
      <x:c r="H102" s="60" t="n">
        <x:f>G102-F102</x:f>
        <x:v>6.700000000000001</x:v>
      </x:c>
      <x:c r="I102" s="50" t="str">
        <x:v>adult-illico-liberte-weekend</x:v>
      </x:c>
      <x:c r="J102" s="50" t="str">
        <x:v>lyon-part-dieu|seyssel-corbonod</x:v>
      </x:c>
    </x:row>
    <x:row r="103">
      <x:c r="A103" s="50" t="str">
        <x:v>Lyon Part-Dieu</x:v>
      </x:c>
      <x:c r="B103" s="50" t="str">
        <x:v>Seyssel – Corbonod</x:v>
      </x:c>
      <x:c r="C103" s="51" t="n">
        <x:v>112</x:v>
      </x:c>
      <x:c r="D103" s="50" t="str">
        <x:v>Adulte</x:v>
      </x:c>
      <x:c r="E103" s="50" t="str">
        <x:v>illico LIBERTÉ — Accompagnant, Week-end / Jour férié (-50 %)</x:v>
      </x:c>
      <x:c r="F103" s="52" t="n">
        <x:v>12.9</x:v>
      </x:c>
      <x:c r="G103" s="52" t="n">
        <x:v>19.6</x:v>
      </x:c>
      <x:c r="H103" s="60" t="n">
        <x:f>G103-F103</x:f>
        <x:v>6.700000000000001</x:v>
      </x:c>
      <x:c r="I103" s="50" t="str">
        <x:v>adult-illico-liberte-weekend-companion</x:v>
      </x:c>
      <x:c r="J103" s="50" t="str">
        <x:v>lyon-part-dieu|seyssel-corbonod</x:v>
      </x:c>
    </x:row>
    <x:row r="104">
      <x:c r="A104" s="50" t="str">
        <x:v>Lyon Part-Dieu</x:v>
      </x:c>
      <x:c r="B104" s="50" t="str">
        <x:v>Seyssel – Corbonod</x:v>
      </x:c>
      <x:c r="C104" s="51" t="n">
        <x:v>112</x:v>
      </x:c>
      <x:c r="D104" s="50" t="str">
        <x:v>Adulte</x:v>
      </x:c>
      <x:c r="E104" s="50" t="str">
        <x:v>illico LIBERTÉ JEUNES (-50 %)</x:v>
      </x:c>
      <x:c r="F104" s="52" t="n">
        <x:v>12.9</x:v>
      </x:c>
      <x:c r="G104" s="52" t="n">
        <x:v>19.6</x:v>
      </x:c>
      <x:c r="H104" s="60" t="n">
        <x:f>G104-F104</x:f>
        <x:v>6.700000000000001</x:v>
      </x:c>
      <x:c r="I104" s="50" t="str">
        <x:v>adult-illico-jeunes</x:v>
      </x:c>
      <x:c r="J104" s="50" t="str">
        <x:v>lyon-part-dieu|seyssel-corbonod</x:v>
      </x:c>
    </x:row>
    <x:row r="105">
      <x:c r="A105" s="50" t="str">
        <x:v>Lyon Part-Dieu</x:v>
      </x:c>
      <x:c r="B105" s="50" t="str">
        <x:v>Seyssel – Corbonod</x:v>
      </x:c>
      <x:c r="C105" s="51" t="n">
        <x:v>112</x:v>
      </x:c>
      <x:c r="D105" s="50" t="str">
        <x:v>Adulte</x:v>
      </x:c>
      <x:c r="E105" s="50" t="str">
        <x:v>Carte Liberté SNCF (-25 %)</x:v>
      </x:c>
      <x:c r="F105" s="52" t="n">
        <x:v>19.4</x:v>
      </x:c>
      <x:c r="G105" s="52" t="n">
        <x:v>29.4</x:v>
      </x:c>
      <x:c r="H105" s="60" t="n">
        <x:f>G105-F105</x:f>
        <x:v>10</x:v>
      </x:c>
      <x:c r="I105" s="50" t="str">
        <x:v>adult-liberte-nationale</x:v>
      </x:c>
      <x:c r="J105" s="50" t="str">
        <x:v>lyon-part-dieu|seyssel-corbonod</x:v>
      </x:c>
    </x:row>
    <x:row r="106">
      <x:c r="A106" s="50" t="str">
        <x:v>Lyon Part-Dieu</x:v>
      </x:c>
      <x:c r="B106" s="50" t="str">
        <x:v>Seyssel – Corbonod</x:v>
      </x:c>
      <x:c r="C106" s="51" t="n">
        <x:v>112</x:v>
      </x:c>
      <x:c r="D106" s="50" t="str">
        <x:v>Adulte</x:v>
      </x:c>
      <x:c r="E106" s="50" t="str">
        <x:v>Carte Familles Nombreuses (-30 %)</x:v>
      </x:c>
      <x:c r="F106" s="52" t="n">
        <x:v>14.6</x:v>
      </x:c>
      <x:c r="G106" s="52" t="n">
        <x:v>25</x:v>
      </x:c>
      <x:c r="H106" s="60" t="n">
        <x:f>G106-F106</x:f>
        <x:v>10.4</x:v>
      </x:c>
      <x:c r="I106" s="50" t="str">
        <x:v>adult-famille-nombreuse-30</x:v>
      </x:c>
      <x:c r="J106" s="50" t="str">
        <x:v>lyon-part-dieu|seyssel-corbonod</x:v>
      </x:c>
    </x:row>
    <x:row r="107">
      <x:c r="A107" s="50" t="str">
        <x:v>Lyon Part-Dieu</x:v>
      </x:c>
      <x:c r="B107" s="50" t="str">
        <x:v>Seyssel – Corbonod</x:v>
      </x:c>
      <x:c r="C107" s="51" t="n">
        <x:v>112</x:v>
      </x:c>
      <x:c r="D107" s="50" t="str">
        <x:v>Adulte</x:v>
      </x:c>
      <x:c r="E107" s="50" t="str">
        <x:v>Carte Familles Nombreuses (-40 %)</x:v>
      </x:c>
      <x:c r="F107" s="52" t="n">
        <x:v>12.5</x:v>
      </x:c>
      <x:c r="G107" s="52" t="n">
        <x:v>22.9</x:v>
      </x:c>
      <x:c r="H107" s="60" t="n">
        <x:f>G107-F107</x:f>
        <x:v>10.399999999999999</x:v>
      </x:c>
      <x:c r="I107" s="50" t="str">
        <x:v>adult-famille-nombreuse-40</x:v>
      </x:c>
      <x:c r="J107" s="50" t="str">
        <x:v>lyon-part-dieu|seyssel-corbonod</x:v>
      </x:c>
    </x:row>
    <x:row r="108">
      <x:c r="A108" s="50" t="str">
        <x:v>Lyon Part-Dieu</x:v>
      </x:c>
      <x:c r="B108" s="50" t="str">
        <x:v>Seyssel – Corbonod</x:v>
      </x:c>
      <x:c r="C108" s="51" t="n">
        <x:v>112</x:v>
      </x:c>
      <x:c r="D108" s="50" t="str">
        <x:v>Adulte</x:v>
      </x:c>
      <x:c r="E108" s="50" t="str">
        <x:v>Carte Familles Nombreuses (-50 %)</x:v>
      </x:c>
      <x:c r="F108" s="52" t="n">
        <x:v>10.4</x:v>
      </x:c>
      <x:c r="G108" s="52" t="n">
        <x:v>20.8</x:v>
      </x:c>
      <x:c r="H108" s="60" t="n">
        <x:f>G108-F108</x:f>
        <x:v>10.4</x:v>
      </x:c>
      <x:c r="I108" s="50" t="str">
        <x:v>adult-famille-nombreuse-50</x:v>
      </x:c>
      <x:c r="J108" s="50" t="str">
        <x:v>lyon-part-dieu|seyssel-corbonod</x:v>
      </x:c>
    </x:row>
    <x:row r="109">
      <x:c r="A109" s="50" t="str">
        <x:v>Lyon Part-Dieu</x:v>
      </x:c>
      <x:c r="B109" s="50" t="str">
        <x:v>Seyssel – Corbonod</x:v>
      </x:c>
      <x:c r="C109" s="51" t="n">
        <x:v>112</x:v>
      </x:c>
      <x:c r="D109" s="50" t="str">
        <x:v>Adulte</x:v>
      </x:c>
      <x:c r="E109" s="50" t="str">
        <x:v>Carte Familles Nombreuses (-75 %)</x:v>
      </x:c>
      <x:c r="F109" s="52" t="n">
        <x:v>5.2</x:v>
      </x:c>
      <x:c r="G109" s="52" t="n">
        <x:v>15.6</x:v>
      </x:c>
      <x:c r="H109" s="60" t="n">
        <x:f>G109-F109</x:f>
        <x:v>10.399999999999999</x:v>
      </x:c>
      <x:c r="I109" s="50" t="str">
        <x:v>adult-famille-nombreuse-75</x:v>
      </x:c>
      <x:c r="J109" s="50" t="str">
        <x:v>lyon-part-dieu|seyssel-corbonod</x:v>
      </x:c>
    </x:row>
    <x:row r="110">
      <x:c r="A110" s="50" t="str">
        <x:v>Lyon Part-Dieu</x:v>
      </x:c>
      <x:c r="B110" s="50" t="str">
        <x:v>Seyssel – Corbonod</x:v>
      </x:c>
      <x:c r="C110" s="51" t="n">
        <x:v>112</x:v>
      </x:c>
      <x:c r="D110" s="50" t="str">
        <x:v>Adulte</x:v>
      </x:c>
      <x:c r="E110" s="50" t="str">
        <x:v>Carte Militaire (-75 %)</x:v>
      </x:c>
      <x:c r="F110" s="52" t="n">
        <x:v>5.2</x:v>
      </x:c>
      <x:c r="G110" s="52" t="n">
        <x:v>15.6</x:v>
      </x:c>
      <x:c r="H110" s="60" t="n">
        <x:f>G110-F110</x:f>
        <x:v>10.399999999999999</x:v>
      </x:c>
      <x:c r="I110" s="50" t="str">
        <x:v>adult-military</x:v>
      </x:c>
      <x:c r="J110" s="50" t="str">
        <x:v>lyon-part-dieu|seyssel-corbonod</x:v>
      </x:c>
    </x:row>
    <x:row r="111">
      <x:c r="A111" s="50" t="str">
        <x:v>Lyon Part-Dieu</x:v>
      </x:c>
      <x:c r="B111" s="50" t="str">
        <x:v>Seyssel – Corbonod</x:v>
      </x:c>
      <x:c r="C111" s="51" t="n">
        <x:v>112</x:v>
      </x:c>
      <x:c r="D111" s="50" t="str">
        <x:v>Adulte</x:v>
      </x:c>
      <x:c r="E111" s="50" t="str">
        <x:v>Carte Famille Militaire (-40 %)</x:v>
      </x:c>
      <x:c r="F111" s="52" t="n">
        <x:v>15.5</x:v>
      </x:c>
      <x:c r="G111" s="52" t="n">
        <x:v>23.5</x:v>
      </x:c>
      <x:c r="H111" s="60" t="n">
        <x:f>G111-F111</x:f>
        <x:v>8</x:v>
      </x:c>
      <x:c r="I111" s="50" t="str">
        <x:v>adult-family-military</x:v>
      </x:c>
      <x:c r="J111" s="50" t="str">
        <x:v>lyon-part-dieu|seyssel-corbonod</x:v>
      </x:c>
    </x:row>
    <x:row r="112">
      <x:c r="A112" s="50" t="str">
        <x:v>Lyon Part-Dieu</x:v>
      </x:c>
      <x:c r="B112" s="50" t="str">
        <x:v>Seyssel – Corbonod</x:v>
      </x:c>
      <x:c r="C112" s="51" t="n">
        <x:v>112</x:v>
      </x:c>
      <x:c r="D112" s="50" t="str">
        <x:v>Enfant 4–11 ans</x:v>
      </x:c>
      <x:c r="E112" s="50" t="str">
        <x:v>Aucune — Tarif Enfant 4–11 ans</x:v>
      </x:c>
      <x:c r="F112" s="52" t="n">
        <x:v>12.9</x:v>
      </x:c>
      <x:c r="G112" s="52" t="n">
        <x:v>19.6</x:v>
      </x:c>
      <x:c r="H112" s="60" t="n">
        <x:f>G112-F112</x:f>
        <x:v>6.700000000000001</x:v>
      </x:c>
      <x:c r="I112" s="50" t="str">
        <x:v>child-none</x:v>
      </x:c>
      <x:c r="J112" s="50" t="str">
        <x:v>lyon-part-dieu|seyssel-corbonod</x:v>
      </x:c>
    </x:row>
    <x:row r="113">
      <x:c r="A113" s="50" t="str">
        <x:v>Lyon Part-Dieu</x:v>
      </x:c>
      <x:c r="B113" s="50" t="str">
        <x:v>Seyssel – Corbonod</x:v>
      </x:c>
      <x:c r="C113" s="51" t="n">
        <x:v>112</x:v>
      </x:c>
      <x:c r="D113" s="50" t="str">
        <x:v>Enfant 4–11 ans</x:v>
      </x:c>
      <x:c r="E113" s="50" t="str">
        <x:v>illico LIBERTÉ — Accompagnant, Week-end / Jour férié</x:v>
      </x:c>
      <x:c r="F113" s="52" t="n">
        <x:v>6.5</x:v>
      </x:c>
      <x:c r="G113" s="52" t="n">
        <x:v>9.8</x:v>
      </x:c>
      <x:c r="H113" s="60" t="n">
        <x:f>G113-F113</x:f>
        <x:v>3.3000000000000007</x:v>
      </x:c>
      <x:c r="I113" s="50" t="str">
        <x:v>child-illico-liberte-weekend-companion</x:v>
      </x:c>
      <x:c r="J113" s="50" t="str">
        <x:v>lyon-part-dieu|seyssel-corbonod</x:v>
      </x:c>
    </x:row>
    <x:row r="114">
      <x:c r="A114" s="50" t="str">
        <x:v>Lyon Part-Dieu</x:v>
      </x:c>
      <x:c r="B114" s="50" t="str">
        <x:v>Seyssel – Corbonod</x:v>
      </x:c>
      <x:c r="C114" s="51" t="n">
        <x:v>112</x:v>
      </x:c>
      <x:c r="D114" s="50" t="str">
        <x:v>Enfant 4–11 ans</x:v>
      </x:c>
      <x:c r="E114" s="50" t="str">
        <x:v>Carte Famille Militaire</x:v>
      </x:c>
      <x:c r="F114" s="52" t="n">
        <x:v>7.8</x:v>
      </x:c>
      <x:c r="G114" s="52" t="n">
        <x:v>11.8</x:v>
      </x:c>
      <x:c r="H114" s="60" t="n">
        <x:f>G114-F114</x:f>
        <x:v>4.000000000000001</x:v>
      </x:c>
      <x:c r="I114" s="50" t="str">
        <x:v>child-family-military</x:v>
      </x:c>
      <x:c r="J114" s="50" t="str">
        <x:v>lyon-part-dieu|seyssel-corbonod</x:v>
      </x:c>
    </x:row>
    <x:row r="115">
      <x:c r="A115" s="50" t="str">
        <x:v>Lyon Part-Dieu</x:v>
      </x:c>
      <x:c r="B115" s="50" t="str">
        <x:v>Seyssel – Corbonod</x:v>
      </x:c>
      <x:c r="C115" s="51" t="n">
        <x:v>112</x:v>
      </x:c>
      <x:c r="D115" s="50" t="str">
        <x:v>Enfant 4–11 ans</x:v>
      </x:c>
      <x:c r="E115" s="50" t="str">
        <x:v>Carte Familles Nombreuses (-30 %)</x:v>
      </x:c>
      <x:c r="F115" s="52" t="n">
        <x:v>7.3</x:v>
      </x:c>
      <x:c r="G115" s="52" t="n">
        <x:v>12.5</x:v>
      </x:c>
      <x:c r="H115" s="60" t="n">
        <x:f>G115-F115</x:f>
        <x:v>5.2</x:v>
      </x:c>
      <x:c r="I115" s="50" t="str">
        <x:v>child-famille-nombreuse-30</x:v>
      </x:c>
      <x:c r="J115" s="50" t="str">
        <x:v>lyon-part-dieu|seyssel-corbonod</x:v>
      </x:c>
    </x:row>
    <x:row r="116">
      <x:c r="A116" s="50" t="str">
        <x:v>Lyon Part-Dieu</x:v>
      </x:c>
      <x:c r="B116" s="50" t="str">
        <x:v>Seyssel – Corbonod</x:v>
      </x:c>
      <x:c r="C116" s="51" t="n">
        <x:v>112</x:v>
      </x:c>
      <x:c r="D116" s="50" t="str">
        <x:v>Enfant 4–11 ans</x:v>
      </x:c>
      <x:c r="E116" s="50" t="str">
        <x:v>Carte Familles Nombreuses (-40 %)</x:v>
      </x:c>
      <x:c r="F116" s="52" t="n">
        <x:v>6.3</x:v>
      </x:c>
      <x:c r="G116" s="52" t="n">
        <x:v>11.5</x:v>
      </x:c>
      <x:c r="H116" s="60" t="n">
        <x:f>G116-F116</x:f>
        <x:v>5.2</x:v>
      </x:c>
      <x:c r="I116" s="50" t="str">
        <x:v>child-famille-nombreuse-40</x:v>
      </x:c>
      <x:c r="J116" s="50" t="str">
        <x:v>lyon-part-dieu|seyssel-corbonod</x:v>
      </x:c>
    </x:row>
    <x:row r="117">
      <x:c r="A117" s="50" t="str">
        <x:v>Lyon Part-Dieu</x:v>
      </x:c>
      <x:c r="B117" s="50" t="str">
        <x:v>Seyssel – Corbonod</x:v>
      </x:c>
      <x:c r="C117" s="51" t="n">
        <x:v>112</x:v>
      </x:c>
      <x:c r="D117" s="50" t="str">
        <x:v>Enfant 4–11 ans</x:v>
      </x:c>
      <x:c r="E117" s="50" t="str">
        <x:v>Carte Familles Nombreuses (-50 %)</x:v>
      </x:c>
      <x:c r="F117" s="52" t="n">
        <x:v>5.2</x:v>
      </x:c>
      <x:c r="G117" s="52" t="n">
        <x:v>10.4</x:v>
      </x:c>
      <x:c r="H117" s="60" t="n">
        <x:f>G117-F117</x:f>
        <x:v>5.2</x:v>
      </x:c>
      <x:c r="I117" s="50" t="str">
        <x:v>child-famille-nombreuse-50</x:v>
      </x:c>
      <x:c r="J117" s="50" t="str">
        <x:v>lyon-part-dieu|seyssel-corbonod</x:v>
      </x:c>
    </x:row>
    <x:row r="118">
      <x:c r="A118" s="50" t="str">
        <x:v>Lyon Part-Dieu</x:v>
      </x:c>
      <x:c r="B118" s="50" t="str">
        <x:v>Seyssel – Corbonod</x:v>
      </x:c>
      <x:c r="C118" s="51" t="n">
        <x:v>112</x:v>
      </x:c>
      <x:c r="D118" s="50" t="str">
        <x:v>Enfant 4–11 ans</x:v>
      </x:c>
      <x:c r="E118" s="50" t="str">
        <x:v>Carte Familles Nombreuses (-75 %)</x:v>
      </x:c>
      <x:c r="F118" s="52" t="n">
        <x:v>2.6</x:v>
      </x:c>
      <x:c r="G118" s="52" t="n">
        <x:v>7.8</x:v>
      </x:c>
      <x:c r="H118" s="60" t="n">
        <x:f>G118-F118</x:f>
        <x:v>5.199999999999999</x:v>
      </x:c>
      <x:c r="I118" s="50" t="str">
        <x:v>child-famille-nombreuse-75</x:v>
      </x:c>
      <x:c r="J118" s="50" t="str">
        <x:v>lyon-part-dieu|seyssel-corbonod</x:v>
      </x:c>
    </x:row>
    <x:row r="119">
      <x:c r="A119" s="50" t="str">
        <x:v>Lyon Part-Dieu</x:v>
      </x:c>
      <x:c r="B119" s="50" t="str">
        <x:v>Bellegarde-sur-Valserine</x:v>
      </x:c>
      <x:c r="C119" s="51" t="n">
        <x:v>131</x:v>
      </x:c>
      <x:c r="D119" s="50" t="str">
        <x:v>Adulte</x:v>
      </x:c>
      <x:c r="E119" s="50" t="str">
        <x:v>Aucune — Plein tarif</x:v>
      </x:c>
      <x:c r="F119" s="52" t="n">
        <x:v>28.9</x:v>
      </x:c>
      <x:c r="G119" s="52" t="n">
        <x:v>44</x:v>
      </x:c>
      <x:c r="H119" s="60" t="n">
        <x:f>G119-F119</x:f>
        <x:v>15.100000000000001</x:v>
      </x:c>
      <x:c r="I119" s="50" t="str">
        <x:v>adult-none</x:v>
      </x:c>
      <x:c r="J119" s="50" t="str">
        <x:v>lyon-part-dieu|bellegarde-sur-valserine</x:v>
      </x:c>
    </x:row>
    <x:row r="120">
      <x:c r="A120" s="50" t="str">
        <x:v>Lyon Part-Dieu</x:v>
      </x:c>
      <x:c r="B120" s="50" t="str">
        <x:v>Bellegarde-sur-Valserine</x:v>
      </x:c>
      <x:c r="C120" s="51" t="n">
        <x:v>131</x:v>
      </x:c>
      <x:c r="D120" s="50" t="str">
        <x:v>Adulte</x:v>
      </x:c>
      <x:c r="E120" s="50" t="str">
        <x:v>illico LIBERTÉ — Semaine (-25 %)</x:v>
      </x:c>
      <x:c r="F120" s="52" t="n">
        <x:v>21.7</x:v>
      </x:c>
      <x:c r="G120" s="52" t="n">
        <x:v>33</x:v>
      </x:c>
      <x:c r="H120" s="60" t="n">
        <x:f>G120-F120</x:f>
        <x:v>11.3</x:v>
      </x:c>
      <x:c r="I120" s="50" t="str">
        <x:v>adult-illico-liberte-weekday</x:v>
      </x:c>
      <x:c r="J120" s="50" t="str">
        <x:v>lyon-part-dieu|bellegarde-sur-valserine</x:v>
      </x:c>
    </x:row>
    <x:row r="121">
      <x:c r="A121" s="50" t="str">
        <x:v>Lyon Part-Dieu</x:v>
      </x:c>
      <x:c r="B121" s="50" t="str">
        <x:v>Bellegarde-sur-Valserine</x:v>
      </x:c>
      <x:c r="C121" s="51" t="n">
        <x:v>131</x:v>
      </x:c>
      <x:c r="D121" s="50" t="str">
        <x:v>Adulte</x:v>
      </x:c>
      <x:c r="E121" s="50" t="str">
        <x:v>illico LIBERTÉ — Week-end / Jour férié (-50 %)</x:v>
      </x:c>
      <x:c r="F121" s="52" t="n">
        <x:v>14.5</x:v>
      </x:c>
      <x:c r="G121" s="52" t="n">
        <x:v>22</x:v>
      </x:c>
      <x:c r="H121" s="60" t="n">
        <x:f>G121-F121</x:f>
        <x:v>7.5</x:v>
      </x:c>
      <x:c r="I121" s="50" t="str">
        <x:v>adult-illico-liberte-weekend</x:v>
      </x:c>
      <x:c r="J121" s="50" t="str">
        <x:v>lyon-part-dieu|bellegarde-sur-valserine</x:v>
      </x:c>
    </x:row>
    <x:row r="122">
      <x:c r="A122" s="50" t="str">
        <x:v>Lyon Part-Dieu</x:v>
      </x:c>
      <x:c r="B122" s="50" t="str">
        <x:v>Bellegarde-sur-Valserine</x:v>
      </x:c>
      <x:c r="C122" s="51" t="n">
        <x:v>131</x:v>
      </x:c>
      <x:c r="D122" s="50" t="str">
        <x:v>Adulte</x:v>
      </x:c>
      <x:c r="E122" s="50" t="str">
        <x:v>illico LIBERTÉ — Accompagnant, Week-end / Jour férié (-50 %)</x:v>
      </x:c>
      <x:c r="F122" s="52" t="n">
        <x:v>14.5</x:v>
      </x:c>
      <x:c r="G122" s="52" t="n">
        <x:v>22</x:v>
      </x:c>
      <x:c r="H122" s="60" t="n">
        <x:f>G122-F122</x:f>
        <x:v>7.5</x:v>
      </x:c>
      <x:c r="I122" s="50" t="str">
        <x:v>adult-illico-liberte-weekend-companion</x:v>
      </x:c>
      <x:c r="J122" s="50" t="str">
        <x:v>lyon-part-dieu|bellegarde-sur-valserine</x:v>
      </x:c>
    </x:row>
    <x:row r="123">
      <x:c r="A123" s="50" t="str">
        <x:v>Lyon Part-Dieu</x:v>
      </x:c>
      <x:c r="B123" s="50" t="str">
        <x:v>Bellegarde-sur-Valserine</x:v>
      </x:c>
      <x:c r="C123" s="51" t="n">
        <x:v>131</x:v>
      </x:c>
      <x:c r="D123" s="50" t="str">
        <x:v>Adulte</x:v>
      </x:c>
      <x:c r="E123" s="50" t="str">
        <x:v>illico LIBERTÉ JEUNES (-50 %)</x:v>
      </x:c>
      <x:c r="F123" s="52" t="n">
        <x:v>14.5</x:v>
      </x:c>
      <x:c r="G123" s="52" t="n">
        <x:v>22</x:v>
      </x:c>
      <x:c r="H123" s="60" t="n">
        <x:f>G123-F123</x:f>
        <x:v>7.5</x:v>
      </x:c>
      <x:c r="I123" s="50" t="str">
        <x:v>adult-illico-jeunes</x:v>
      </x:c>
      <x:c r="J123" s="50" t="str">
        <x:v>lyon-part-dieu|bellegarde-sur-valserine</x:v>
      </x:c>
    </x:row>
    <x:row r="124">
      <x:c r="A124" s="50" t="str">
        <x:v>Lyon Part-Dieu</x:v>
      </x:c>
      <x:c r="B124" s="50" t="str">
        <x:v>Bellegarde-sur-Valserine</x:v>
      </x:c>
      <x:c r="C124" s="51" t="n">
        <x:v>131</x:v>
      </x:c>
      <x:c r="D124" s="50" t="str">
        <x:v>Adulte</x:v>
      </x:c>
      <x:c r="E124" s="50" t="str">
        <x:v>Carte Liberté SNCF (-25 %)</x:v>
      </x:c>
      <x:c r="F124" s="52" t="n">
        <x:v>21.7</x:v>
      </x:c>
      <x:c r="G124" s="52" t="n">
        <x:v>33</x:v>
      </x:c>
      <x:c r="H124" s="60" t="n">
        <x:f>G124-F124</x:f>
        <x:v>11.3</x:v>
      </x:c>
      <x:c r="I124" s="50" t="str">
        <x:v>adult-liberte-nationale</x:v>
      </x:c>
      <x:c r="J124" s="50" t="str">
        <x:v>lyon-part-dieu|bellegarde-sur-valserine</x:v>
      </x:c>
    </x:row>
    <x:row r="125">
      <x:c r="A125" s="50" t="str">
        <x:v>Lyon Part-Dieu</x:v>
      </x:c>
      <x:c r="B125" s="50" t="str">
        <x:v>Bellegarde-sur-Valserine</x:v>
      </x:c>
      <x:c r="C125" s="51" t="n">
        <x:v>131</x:v>
      </x:c>
      <x:c r="D125" s="50" t="str">
        <x:v>Adulte</x:v>
      </x:c>
      <x:c r="E125" s="50" t="str">
        <x:v>Carte Familles Nombreuses (-30 %)</x:v>
      </x:c>
      <x:c r="F125" s="52" t="n">
        <x:v>16.4</x:v>
      </x:c>
      <x:c r="G125" s="52" t="n">
        <x:v>28</x:v>
      </x:c>
      <x:c r="H125" s="60" t="n">
        <x:f>G125-F125</x:f>
        <x:v>11.600000000000001</x:v>
      </x:c>
      <x:c r="I125" s="50" t="str">
        <x:v>adult-famille-nombreuse-30</x:v>
      </x:c>
      <x:c r="J125" s="50" t="str">
        <x:v>lyon-part-dieu|bellegarde-sur-valserine</x:v>
      </x:c>
    </x:row>
    <x:row r="126">
      <x:c r="A126" s="50" t="str">
        <x:v>Lyon Part-Dieu</x:v>
      </x:c>
      <x:c r="B126" s="50" t="str">
        <x:v>Bellegarde-sur-Valserine</x:v>
      </x:c>
      <x:c r="C126" s="51" t="n">
        <x:v>131</x:v>
      </x:c>
      <x:c r="D126" s="50" t="str">
        <x:v>Adulte</x:v>
      </x:c>
      <x:c r="E126" s="50" t="str">
        <x:v>Carte Familles Nombreuses (-40 %)</x:v>
      </x:c>
      <x:c r="F126" s="52" t="n">
        <x:v>14.1</x:v>
      </x:c>
      <x:c r="G126" s="52" t="n">
        <x:v>25.7</x:v>
      </x:c>
      <x:c r="H126" s="60" t="n">
        <x:f>G126-F126</x:f>
        <x:v>11.6</x:v>
      </x:c>
      <x:c r="I126" s="50" t="str">
        <x:v>adult-famille-nombreuse-40</x:v>
      </x:c>
      <x:c r="J126" s="50" t="str">
        <x:v>lyon-part-dieu|bellegarde-sur-valserine</x:v>
      </x:c>
    </x:row>
    <x:row r="127">
      <x:c r="A127" s="50" t="str">
        <x:v>Lyon Part-Dieu</x:v>
      </x:c>
      <x:c r="B127" s="50" t="str">
        <x:v>Bellegarde-sur-Valserine</x:v>
      </x:c>
      <x:c r="C127" s="51" t="n">
        <x:v>131</x:v>
      </x:c>
      <x:c r="D127" s="50" t="str">
        <x:v>Adulte</x:v>
      </x:c>
      <x:c r="E127" s="50" t="str">
        <x:v>Carte Familles Nombreuses (-50 %)</x:v>
      </x:c>
      <x:c r="F127" s="52" t="n">
        <x:v>11.7</x:v>
      </x:c>
      <x:c r="G127" s="52" t="n">
        <x:v>23.3</x:v>
      </x:c>
      <x:c r="H127" s="60" t="n">
        <x:f>G127-F127</x:f>
        <x:v>11.600000000000001</x:v>
      </x:c>
      <x:c r="I127" s="50" t="str">
        <x:v>adult-famille-nombreuse-50</x:v>
      </x:c>
      <x:c r="J127" s="50" t="str">
        <x:v>lyon-part-dieu|bellegarde-sur-valserine</x:v>
      </x:c>
    </x:row>
    <x:row r="128">
      <x:c r="A128" s="50" t="str">
        <x:v>Lyon Part-Dieu</x:v>
      </x:c>
      <x:c r="B128" s="50" t="str">
        <x:v>Bellegarde-sur-Valserine</x:v>
      </x:c>
      <x:c r="C128" s="51" t="n">
        <x:v>131</x:v>
      </x:c>
      <x:c r="D128" s="50" t="str">
        <x:v>Adulte</x:v>
      </x:c>
      <x:c r="E128" s="50" t="str">
        <x:v>Carte Familles Nombreuses (-75 %)</x:v>
      </x:c>
      <x:c r="F128" s="52" t="n">
        <x:v>5.9</x:v>
      </x:c>
      <x:c r="G128" s="52" t="n">
        <x:v>17.5</x:v>
      </x:c>
      <x:c r="H128" s="60" t="n">
        <x:f>G128-F128</x:f>
        <x:v>11.6</x:v>
      </x:c>
      <x:c r="I128" s="50" t="str">
        <x:v>adult-famille-nombreuse-75</x:v>
      </x:c>
      <x:c r="J128" s="50" t="str">
        <x:v>lyon-part-dieu|bellegarde-sur-valserine</x:v>
      </x:c>
    </x:row>
    <x:row r="129">
      <x:c r="A129" s="50" t="str">
        <x:v>Lyon Part-Dieu</x:v>
      </x:c>
      <x:c r="B129" s="50" t="str">
        <x:v>Bellegarde-sur-Valserine</x:v>
      </x:c>
      <x:c r="C129" s="51" t="n">
        <x:v>131</x:v>
      </x:c>
      <x:c r="D129" s="50" t="str">
        <x:v>Adulte</x:v>
      </x:c>
      <x:c r="E129" s="50" t="str">
        <x:v>Carte Militaire (-75 %)</x:v>
      </x:c>
      <x:c r="F129" s="52" t="n">
        <x:v>5.9</x:v>
      </x:c>
      <x:c r="G129" s="52" t="n">
        <x:v>17.5</x:v>
      </x:c>
      <x:c r="H129" s="60" t="n">
        <x:f>G129-F129</x:f>
        <x:v>11.6</x:v>
      </x:c>
      <x:c r="I129" s="50" t="str">
        <x:v>adult-military</x:v>
      </x:c>
      <x:c r="J129" s="50" t="str">
        <x:v>lyon-part-dieu|bellegarde-sur-valserine</x:v>
      </x:c>
    </x:row>
    <x:row r="130">
      <x:c r="A130" s="50" t="str">
        <x:v>Lyon Part-Dieu</x:v>
      </x:c>
      <x:c r="B130" s="50" t="str">
        <x:v>Bellegarde-sur-Valserine</x:v>
      </x:c>
      <x:c r="C130" s="51" t="n">
        <x:v>131</x:v>
      </x:c>
      <x:c r="D130" s="50" t="str">
        <x:v>Adulte</x:v>
      </x:c>
      <x:c r="E130" s="50" t="str">
        <x:v>Carte Famille Militaire (-40 %)</x:v>
      </x:c>
      <x:c r="F130" s="52" t="n">
        <x:v>17.4</x:v>
      </x:c>
      <x:c r="G130" s="52" t="n">
        <x:v>26.4</x:v>
      </x:c>
      <x:c r="H130" s="60" t="n">
        <x:f>G130-F130</x:f>
        <x:v>9</x:v>
      </x:c>
      <x:c r="I130" s="50" t="str">
        <x:v>adult-family-military</x:v>
      </x:c>
      <x:c r="J130" s="50" t="str">
        <x:v>lyon-part-dieu|bellegarde-sur-valserine</x:v>
      </x:c>
    </x:row>
    <x:row r="131">
      <x:c r="A131" s="50" t="str">
        <x:v>Lyon Part-Dieu</x:v>
      </x:c>
      <x:c r="B131" s="50" t="str">
        <x:v>Bellegarde-sur-Valserine</x:v>
      </x:c>
      <x:c r="C131" s="51" t="n">
        <x:v>131</x:v>
      </x:c>
      <x:c r="D131" s="50" t="str">
        <x:v>Enfant 4–11 ans</x:v>
      </x:c>
      <x:c r="E131" s="50" t="str">
        <x:v>Aucune — Tarif Enfant 4–11 ans</x:v>
      </x:c>
      <x:c r="F131" s="52" t="n">
        <x:v>14.5</x:v>
      </x:c>
      <x:c r="G131" s="52" t="n">
        <x:v>22</x:v>
      </x:c>
      <x:c r="H131" s="60" t="n">
        <x:f>G131-F131</x:f>
        <x:v>7.5</x:v>
      </x:c>
      <x:c r="I131" s="50" t="str">
        <x:v>child-none</x:v>
      </x:c>
      <x:c r="J131" s="50" t="str">
        <x:v>lyon-part-dieu|bellegarde-sur-valserine</x:v>
      </x:c>
    </x:row>
    <x:row r="132">
      <x:c r="A132" s="50" t="str">
        <x:v>Lyon Part-Dieu</x:v>
      </x:c>
      <x:c r="B132" s="50" t="str">
        <x:v>Bellegarde-sur-Valserine</x:v>
      </x:c>
      <x:c r="C132" s="51" t="n">
        <x:v>131</x:v>
      </x:c>
      <x:c r="D132" s="50" t="str">
        <x:v>Enfant 4–11 ans</x:v>
      </x:c>
      <x:c r="E132" s="50" t="str">
        <x:v>illico LIBERTÉ — Accompagnant, Week-end / Jour férié</x:v>
      </x:c>
      <x:c r="F132" s="52" t="n">
        <x:v>7.3</x:v>
      </x:c>
      <x:c r="G132" s="52" t="n">
        <x:v>11</x:v>
      </x:c>
      <x:c r="H132" s="60" t="n">
        <x:f>G132-F132</x:f>
        <x:v>3.7</x:v>
      </x:c>
      <x:c r="I132" s="50" t="str">
        <x:v>child-illico-liberte-weekend-companion</x:v>
      </x:c>
      <x:c r="J132" s="50" t="str">
        <x:v>lyon-part-dieu|bellegarde-sur-valserine</x:v>
      </x:c>
    </x:row>
    <x:row r="133">
      <x:c r="A133" s="50" t="str">
        <x:v>Lyon Part-Dieu</x:v>
      </x:c>
      <x:c r="B133" s="50" t="str">
        <x:v>Bellegarde-sur-Valserine</x:v>
      </x:c>
      <x:c r="C133" s="51" t="n">
        <x:v>131</x:v>
      </x:c>
      <x:c r="D133" s="50" t="str">
        <x:v>Enfant 4–11 ans</x:v>
      </x:c>
      <x:c r="E133" s="50" t="str">
        <x:v>Carte Famille Militaire</x:v>
      </x:c>
      <x:c r="F133" s="52" t="n">
        <x:v>8.7</x:v>
      </x:c>
      <x:c r="G133" s="52" t="n">
        <x:v>13.2</x:v>
      </x:c>
      <x:c r="H133" s="60" t="n">
        <x:f>G133-F133</x:f>
        <x:v>4.5</x:v>
      </x:c>
      <x:c r="I133" s="50" t="str">
        <x:v>child-family-military</x:v>
      </x:c>
      <x:c r="J133" s="50" t="str">
        <x:v>lyon-part-dieu|bellegarde-sur-valserine</x:v>
      </x:c>
    </x:row>
    <x:row r="134">
      <x:c r="A134" s="50" t="str">
        <x:v>Lyon Part-Dieu</x:v>
      </x:c>
      <x:c r="B134" s="50" t="str">
        <x:v>Bellegarde-sur-Valserine</x:v>
      </x:c>
      <x:c r="C134" s="51" t="n">
        <x:v>131</x:v>
      </x:c>
      <x:c r="D134" s="50" t="str">
        <x:v>Enfant 4–11 ans</x:v>
      </x:c>
      <x:c r="E134" s="50" t="str">
        <x:v>Carte Familles Nombreuses (-30 %)</x:v>
      </x:c>
      <x:c r="F134" s="52" t="n">
        <x:v>8.2</x:v>
      </x:c>
      <x:c r="G134" s="52" t="n">
        <x:v>14</x:v>
      </x:c>
      <x:c r="H134" s="60" t="n">
        <x:f>G134-F134</x:f>
        <x:v>5.800000000000001</x:v>
      </x:c>
      <x:c r="I134" s="50" t="str">
        <x:v>child-famille-nombreuse-30</x:v>
      </x:c>
      <x:c r="J134" s="50" t="str">
        <x:v>lyon-part-dieu|bellegarde-sur-valserine</x:v>
      </x:c>
    </x:row>
    <x:row r="135">
      <x:c r="A135" s="50" t="str">
        <x:v>Lyon Part-Dieu</x:v>
      </x:c>
      <x:c r="B135" s="50" t="str">
        <x:v>Bellegarde-sur-Valserine</x:v>
      </x:c>
      <x:c r="C135" s="51" t="n">
        <x:v>131</x:v>
      </x:c>
      <x:c r="D135" s="50" t="str">
        <x:v>Enfant 4–11 ans</x:v>
      </x:c>
      <x:c r="E135" s="50" t="str">
        <x:v>Carte Familles Nombreuses (-40 %)</x:v>
      </x:c>
      <x:c r="F135" s="52" t="n">
        <x:v>7.1</x:v>
      </x:c>
      <x:c r="G135" s="52" t="n">
        <x:v>12.9</x:v>
      </x:c>
      <x:c r="H135" s="60" t="n">
        <x:f>G135-F135</x:f>
        <x:v>5.800000000000001</x:v>
      </x:c>
      <x:c r="I135" s="50" t="str">
        <x:v>child-famille-nombreuse-40</x:v>
      </x:c>
      <x:c r="J135" s="50" t="str">
        <x:v>lyon-part-dieu|bellegarde-sur-valserine</x:v>
      </x:c>
    </x:row>
    <x:row r="136">
      <x:c r="A136" s="50" t="str">
        <x:v>Lyon Part-Dieu</x:v>
      </x:c>
      <x:c r="B136" s="50" t="str">
        <x:v>Bellegarde-sur-Valserine</x:v>
      </x:c>
      <x:c r="C136" s="51" t="n">
        <x:v>131</x:v>
      </x:c>
      <x:c r="D136" s="50" t="str">
        <x:v>Enfant 4–11 ans</x:v>
      </x:c>
      <x:c r="E136" s="50" t="str">
        <x:v>Carte Familles Nombreuses (-50 %)</x:v>
      </x:c>
      <x:c r="F136" s="52" t="n">
        <x:v>5.9</x:v>
      </x:c>
      <x:c r="G136" s="52" t="n">
        <x:v>11.7</x:v>
      </x:c>
      <x:c r="H136" s="60" t="n">
        <x:f>G136-F136</x:f>
        <x:v>5.799999999999999</x:v>
      </x:c>
      <x:c r="I136" s="50" t="str">
        <x:v>child-famille-nombreuse-50</x:v>
      </x:c>
      <x:c r="J136" s="50" t="str">
        <x:v>lyon-part-dieu|bellegarde-sur-valserine</x:v>
      </x:c>
    </x:row>
    <x:row r="137">
      <x:c r="A137" s="50" t="str">
        <x:v>Lyon Part-Dieu</x:v>
      </x:c>
      <x:c r="B137" s="50" t="str">
        <x:v>Bellegarde-sur-Valserine</x:v>
      </x:c>
      <x:c r="C137" s="51" t="n">
        <x:v>131</x:v>
      </x:c>
      <x:c r="D137" s="50" t="str">
        <x:v>Enfant 4–11 ans</x:v>
      </x:c>
      <x:c r="E137" s="50" t="str">
        <x:v>Carte Familles Nombreuses (-75 %)</x:v>
      </x:c>
      <x:c r="F137" s="52" t="n">
        <x:v>3</x:v>
      </x:c>
      <x:c r="G137" s="52" t="n">
        <x:v>8.8</x:v>
      </x:c>
      <x:c r="H137" s="60" t="n">
        <x:f>G137-F137</x:f>
        <x:v>5.800000000000001</x:v>
      </x:c>
      <x:c r="I137" s="50" t="str">
        <x:v>child-famille-nombreuse-75</x:v>
      </x:c>
      <x:c r="J137" s="50" t="str">
        <x:v>lyon-part-dieu|bellegarde-sur-valserine</x:v>
      </x:c>
    </x:row>
    <x:row r="138">
      <x:c r="A138" s="50" t="str">
        <x:v>Lyon Part-Dieu</x:v>
      </x:c>
      <x:c r="B138" s="50" t="str">
        <x:v>Genève</x:v>
      </x:c>
      <x:c r="C138" s="51" t="n">
        <x:v>173</x:v>
      </x:c>
      <x:c r="D138" s="50" t="str">
        <x:v>Adulte</x:v>
      </x:c>
      <x:c r="E138" s="50" t="str">
        <x:v>Aucune — Plein tarif</x:v>
      </x:c>
      <x:c r="F138" s="52" t="n">
        <x:v>35.1</x:v>
      </x:c>
      <x:c r="G138" s="52" t="n">
        <x:v>53.3</x:v>
      </x:c>
      <x:c r="H138" s="60" t="n">
        <x:f>G138-F138</x:f>
        <x:v>18.199999999999996</x:v>
      </x:c>
      <x:c r="I138" s="50" t="str">
        <x:v>adult-none</x:v>
      </x:c>
      <x:c r="J138" s="50" t="str">
        <x:v>lyon-part-dieu|geneve</x:v>
      </x:c>
    </x:row>
    <x:row r="139">
      <x:c r="A139" s="50" t="str">
        <x:v>Lyon Part-Dieu</x:v>
      </x:c>
      <x:c r="B139" s="50" t="str">
        <x:v>Genève</x:v>
      </x:c>
      <x:c r="C139" s="51" t="n">
        <x:v>173</x:v>
      </x:c>
      <x:c r="D139" s="50" t="str">
        <x:v>Adulte</x:v>
      </x:c>
      <x:c r="E139" s="50" t="str">
        <x:v>illico LIBERTÉ — Semaine (-25 %)</x:v>
      </x:c>
      <x:c r="F139" s="52" t="n">
        <x:v>26.4</x:v>
      </x:c>
      <x:c r="G139" s="52" t="n">
        <x:v>40</x:v>
      </x:c>
      <x:c r="H139" s="60" t="n">
        <x:f>G139-F139</x:f>
        <x:v>13.600000000000001</x:v>
      </x:c>
      <x:c r="I139" s="50" t="str">
        <x:v>adult-illico-liberte-weekday</x:v>
      </x:c>
      <x:c r="J139" s="50" t="str">
        <x:v>lyon-part-dieu|geneve</x:v>
      </x:c>
    </x:row>
    <x:row r="140">
      <x:c r="A140" s="50" t="str">
        <x:v>Lyon Part-Dieu</x:v>
      </x:c>
      <x:c r="B140" s="50" t="str">
        <x:v>Genève</x:v>
      </x:c>
      <x:c r="C140" s="51" t="n">
        <x:v>173</x:v>
      </x:c>
      <x:c r="D140" s="50" t="str">
        <x:v>Adulte</x:v>
      </x:c>
      <x:c r="E140" s="50" t="str">
        <x:v>illico LIBERTÉ — Week-end / Jour férié (-50 %)</x:v>
      </x:c>
      <x:c r="F140" s="52" t="n">
        <x:v>17.6</x:v>
      </x:c>
      <x:c r="G140" s="52" t="n">
        <x:v>26.7</x:v>
      </x:c>
      <x:c r="H140" s="60" t="n">
        <x:f>G140-F140</x:f>
        <x:v>9.099999999999998</x:v>
      </x:c>
      <x:c r="I140" s="50" t="str">
        <x:v>adult-illico-liberte-weekend</x:v>
      </x:c>
      <x:c r="J140" s="50" t="str">
        <x:v>lyon-part-dieu|geneve</x:v>
      </x:c>
    </x:row>
    <x:row r="141">
      <x:c r="A141" s="50" t="str">
        <x:v>Lyon Part-Dieu</x:v>
      </x:c>
      <x:c r="B141" s="50" t="str">
        <x:v>Genève</x:v>
      </x:c>
      <x:c r="C141" s="51" t="n">
        <x:v>173</x:v>
      </x:c>
      <x:c r="D141" s="50" t="str">
        <x:v>Adulte</x:v>
      </x:c>
      <x:c r="E141" s="50" t="str">
        <x:v>illico LIBERTÉ — Accompagnant, Week-end / Jour férié (-50 %)</x:v>
      </x:c>
      <x:c r="F141" s="52" t="n">
        <x:v>17.6</x:v>
      </x:c>
      <x:c r="G141" s="52" t="n">
        <x:v>26.7</x:v>
      </x:c>
      <x:c r="H141" s="60" t="n">
        <x:f>G141-F141</x:f>
        <x:v>9.099999999999998</x:v>
      </x:c>
      <x:c r="I141" s="50" t="str">
        <x:v>adult-illico-liberte-weekend-companion</x:v>
      </x:c>
      <x:c r="J141" s="50" t="str">
        <x:v>lyon-part-dieu|geneve</x:v>
      </x:c>
    </x:row>
    <x:row r="142">
      <x:c r="A142" s="50" t="str">
        <x:v>Lyon Part-Dieu</x:v>
      </x:c>
      <x:c r="B142" s="50" t="str">
        <x:v>Genève</x:v>
      </x:c>
      <x:c r="C142" s="51" t="n">
        <x:v>173</x:v>
      </x:c>
      <x:c r="D142" s="50" t="str">
        <x:v>Adulte</x:v>
      </x:c>
      <x:c r="E142" s="50" t="str">
        <x:v>illico LIBERTÉ JEUNES (-50 %)</x:v>
      </x:c>
      <x:c r="F142" s="52" t="n">
        <x:v>17.6</x:v>
      </x:c>
      <x:c r="G142" s="52" t="n">
        <x:v>26.7</x:v>
      </x:c>
      <x:c r="H142" s="60" t="n">
        <x:f>G142-F142</x:f>
        <x:v>9.099999999999998</x:v>
      </x:c>
      <x:c r="I142" s="50" t="str">
        <x:v>adult-illico-jeunes</x:v>
      </x:c>
      <x:c r="J142" s="50" t="str">
        <x:v>lyon-part-dieu|geneve</x:v>
      </x:c>
    </x:row>
    <x:row r="143">
      <x:c r="A143" s="50" t="str">
        <x:v>Lyon Part-Dieu</x:v>
      </x:c>
      <x:c r="B143" s="50" t="str">
        <x:v>Genève</x:v>
      </x:c>
      <x:c r="C143" s="51" t="n">
        <x:v>173</x:v>
      </x:c>
      <x:c r="D143" s="50" t="str">
        <x:v>Adulte</x:v>
      </x:c>
      <x:c r="E143" s="50" t="str">
        <x:v>Carte Liberté SNCF (-25 %)</x:v>
      </x:c>
      <x:c r="F143" s="52" t="n">
        <x:v>26.4</x:v>
      </x:c>
      <x:c r="G143" s="52" t="n">
        <x:v>40</x:v>
      </x:c>
      <x:c r="H143" s="60" t="n">
        <x:f>G143-F143</x:f>
        <x:v>13.600000000000001</x:v>
      </x:c>
      <x:c r="I143" s="50" t="str">
        <x:v>adult-liberte-nationale</x:v>
      </x:c>
      <x:c r="J143" s="50" t="str">
        <x:v>lyon-part-dieu|geneve</x:v>
      </x:c>
    </x:row>
    <x:row r="144">
      <x:c r="A144" s="50" t="str">
        <x:v>Lyon Part-Dieu</x:v>
      </x:c>
      <x:c r="B144" s="50" t="str">
        <x:v>Genève</x:v>
      </x:c>
      <x:c r="C144" s="51" t="n">
        <x:v>173</x:v>
      </x:c>
      <x:c r="D144" s="50" t="str">
        <x:v>Adulte</x:v>
      </x:c>
      <x:c r="E144" s="50" t="str">
        <x:v>Carte Familles Nombreuses (-30 %)</x:v>
      </x:c>
      <x:c r="F144" s="52" t="n">
        <x:v>19.8</x:v>
      </x:c>
      <x:c r="G144" s="52" t="n">
        <x:v>33.8</x:v>
      </x:c>
      <x:c r="H144" s="60" t="n">
        <x:f>G144-F144</x:f>
        <x:v>13.999999999999996</x:v>
      </x:c>
      <x:c r="I144" s="50" t="str">
        <x:v>adult-famille-nombreuse-30</x:v>
      </x:c>
      <x:c r="J144" s="50" t="str">
        <x:v>lyon-part-dieu|geneve</x:v>
      </x:c>
    </x:row>
    <x:row r="145">
      <x:c r="A145" s="50" t="str">
        <x:v>Lyon Part-Dieu</x:v>
      </x:c>
      <x:c r="B145" s="50" t="str">
        <x:v>Genève</x:v>
      </x:c>
      <x:c r="C145" s="51" t="n">
        <x:v>173</x:v>
      </x:c>
      <x:c r="D145" s="50" t="str">
        <x:v>Adulte</x:v>
      </x:c>
      <x:c r="E145" s="50" t="str">
        <x:v>Carte Familles Nombreuses (-40 %)</x:v>
      </x:c>
      <x:c r="F145" s="52" t="n">
        <x:v>17</x:v>
      </x:c>
      <x:c r="G145" s="52" t="n">
        <x:v>31</x:v>
      </x:c>
      <x:c r="H145" s="60" t="n">
        <x:f>G145-F145</x:f>
        <x:v>14</x:v>
      </x:c>
      <x:c r="I145" s="50" t="str">
        <x:v>adult-famille-nombreuse-40</x:v>
      </x:c>
      <x:c r="J145" s="50" t="str">
        <x:v>lyon-part-dieu|geneve</x:v>
      </x:c>
    </x:row>
    <x:row r="146">
      <x:c r="A146" s="50" t="str">
        <x:v>Lyon Part-Dieu</x:v>
      </x:c>
      <x:c r="B146" s="50" t="str">
        <x:v>Genève</x:v>
      </x:c>
      <x:c r="C146" s="51" t="n">
        <x:v>173</x:v>
      </x:c>
      <x:c r="D146" s="50" t="str">
        <x:v>Adulte</x:v>
      </x:c>
      <x:c r="E146" s="50" t="str">
        <x:v>Carte Familles Nombreuses (-50 %)</x:v>
      </x:c>
      <x:c r="F146" s="52" t="n">
        <x:v>14.1</x:v>
      </x:c>
      <x:c r="G146" s="52" t="n">
        <x:v>28.1</x:v>
      </x:c>
      <x:c r="H146" s="60" t="n">
        <x:f>G146-F146</x:f>
        <x:v>14.000000000000002</x:v>
      </x:c>
      <x:c r="I146" s="50" t="str">
        <x:v>adult-famille-nombreuse-50</x:v>
      </x:c>
      <x:c r="J146" s="50" t="str">
        <x:v>lyon-part-dieu|geneve</x:v>
      </x:c>
    </x:row>
    <x:row r="147">
      <x:c r="A147" s="50" t="str">
        <x:v>Lyon Part-Dieu</x:v>
      </x:c>
      <x:c r="B147" s="50" t="str">
        <x:v>Genève</x:v>
      </x:c>
      <x:c r="C147" s="51" t="n">
        <x:v>173</x:v>
      </x:c>
      <x:c r="D147" s="50" t="str">
        <x:v>Adulte</x:v>
      </x:c>
      <x:c r="E147" s="50" t="str">
        <x:v>Carte Familles Nombreuses (-75 %)</x:v>
      </x:c>
      <x:c r="F147" s="52" t="n">
        <x:v>7.1</x:v>
      </x:c>
      <x:c r="G147" s="52" t="n">
        <x:v>21.1</x:v>
      </x:c>
      <x:c r="H147" s="60" t="n">
        <x:f>G147-F147</x:f>
        <x:v>14.000000000000002</x:v>
      </x:c>
      <x:c r="I147" s="50" t="str">
        <x:v>adult-famille-nombreuse-75</x:v>
      </x:c>
      <x:c r="J147" s="50" t="str">
        <x:v>lyon-part-dieu|geneve</x:v>
      </x:c>
    </x:row>
    <x:row r="148">
      <x:c r="A148" s="50" t="str">
        <x:v>Lyon Part-Dieu</x:v>
      </x:c>
      <x:c r="B148" s="50" t="str">
        <x:v>Genève</x:v>
      </x:c>
      <x:c r="C148" s="51" t="n">
        <x:v>173</x:v>
      </x:c>
      <x:c r="D148" s="50" t="str">
        <x:v>Adulte</x:v>
      </x:c>
      <x:c r="E148" s="50" t="str">
        <x:v>Carte Militaire (-75 %)</x:v>
      </x:c>
      <x:c r="F148" s="52" t="n">
        <x:v>7.1</x:v>
      </x:c>
      <x:c r="G148" s="52" t="n">
        <x:v>21.1</x:v>
      </x:c>
      <x:c r="H148" s="60" t="n">
        <x:f>G148-F148</x:f>
        <x:v>14.000000000000002</x:v>
      </x:c>
      <x:c r="I148" s="50" t="str">
        <x:v>adult-military</x:v>
      </x:c>
      <x:c r="J148" s="50" t="str">
        <x:v>lyon-part-dieu|geneve</x:v>
      </x:c>
    </x:row>
    <x:row r="149">
      <x:c r="A149" s="50" t="str">
        <x:v>Lyon Part-Dieu</x:v>
      </x:c>
      <x:c r="B149" s="50" t="str">
        <x:v>Genève</x:v>
      </x:c>
      <x:c r="C149" s="51" t="n">
        <x:v>173</x:v>
      </x:c>
      <x:c r="D149" s="50" t="str">
        <x:v>Adulte</x:v>
      </x:c>
      <x:c r="E149" s="50" t="str">
        <x:v>Carte Famille Militaire (-40 %)</x:v>
      </x:c>
      <x:c r="F149" s="52" t="n">
        <x:v>21.1</x:v>
      </x:c>
      <x:c r="G149" s="52" t="n">
        <x:v>32</x:v>
      </x:c>
      <x:c r="H149" s="60" t="n">
        <x:f>G149-F149</x:f>
        <x:v>10.899999999999999</x:v>
      </x:c>
      <x:c r="I149" s="50" t="str">
        <x:v>adult-family-military</x:v>
      </x:c>
      <x:c r="J149" s="50" t="str">
        <x:v>lyon-part-dieu|geneve</x:v>
      </x:c>
    </x:row>
    <x:row r="150">
      <x:c r="A150" s="50" t="str">
        <x:v>Lyon Part-Dieu</x:v>
      </x:c>
      <x:c r="B150" s="50" t="str">
        <x:v>Genève</x:v>
      </x:c>
      <x:c r="C150" s="51" t="n">
        <x:v>173</x:v>
      </x:c>
      <x:c r="D150" s="50" t="str">
        <x:v>Enfant 4–11 ans</x:v>
      </x:c>
      <x:c r="E150" s="50" t="str">
        <x:v>Aucune — Tarif Enfant 4–11 ans</x:v>
      </x:c>
      <x:c r="F150" s="52" t="n">
        <x:v>17.6</x:v>
      </x:c>
      <x:c r="G150" s="52" t="n">
        <x:v>26.7</x:v>
      </x:c>
      <x:c r="H150" s="60" t="n">
        <x:f>G150-F150</x:f>
        <x:v>9.099999999999998</x:v>
      </x:c>
      <x:c r="I150" s="50" t="str">
        <x:v>child-none</x:v>
      </x:c>
      <x:c r="J150" s="50" t="str">
        <x:v>lyon-part-dieu|geneve</x:v>
      </x:c>
    </x:row>
    <x:row r="151">
      <x:c r="A151" s="50" t="str">
        <x:v>Lyon Part-Dieu</x:v>
      </x:c>
      <x:c r="B151" s="50" t="str">
        <x:v>Genève</x:v>
      </x:c>
      <x:c r="C151" s="51" t="n">
        <x:v>173</x:v>
      </x:c>
      <x:c r="D151" s="50" t="str">
        <x:v>Enfant 4–11 ans</x:v>
      </x:c>
      <x:c r="E151" s="50" t="str">
        <x:v>illico LIBERTÉ — Accompagnant, Week-end / Jour férié</x:v>
      </x:c>
      <x:c r="F151" s="52" t="n">
        <x:v>8.8</x:v>
      </x:c>
      <x:c r="G151" s="52" t="n">
        <x:v>13.4</x:v>
      </x:c>
      <x:c r="H151" s="60" t="n">
        <x:f>G151-F151</x:f>
        <x:v>4.6</x:v>
      </x:c>
      <x:c r="I151" s="50" t="str">
        <x:v>child-illico-liberte-weekend-companion</x:v>
      </x:c>
      <x:c r="J151" s="50" t="str">
        <x:v>lyon-part-dieu|geneve</x:v>
      </x:c>
    </x:row>
    <x:row r="152">
      <x:c r="A152" s="50" t="str">
        <x:v>Lyon Part-Dieu</x:v>
      </x:c>
      <x:c r="B152" s="50" t="str">
        <x:v>Genève</x:v>
      </x:c>
      <x:c r="C152" s="51" t="n">
        <x:v>173</x:v>
      </x:c>
      <x:c r="D152" s="50" t="str">
        <x:v>Enfant 4–11 ans</x:v>
      </x:c>
      <x:c r="E152" s="50" t="str">
        <x:v>Carte Famille Militaire</x:v>
      </x:c>
      <x:c r="F152" s="52" t="n">
        <x:v>10.6</x:v>
      </x:c>
      <x:c r="G152" s="52" t="n">
        <x:v>16</x:v>
      </x:c>
      <x:c r="H152" s="60" t="n">
        <x:f>G152-F152</x:f>
        <x:v>5.4</x:v>
      </x:c>
      <x:c r="I152" s="50" t="str">
        <x:v>child-family-military</x:v>
      </x:c>
      <x:c r="J152" s="50" t="str">
        <x:v>lyon-part-dieu|geneve</x:v>
      </x:c>
    </x:row>
    <x:row r="153">
      <x:c r="A153" s="50" t="str">
        <x:v>Lyon Part-Dieu</x:v>
      </x:c>
      <x:c r="B153" s="50" t="str">
        <x:v>Genève</x:v>
      </x:c>
      <x:c r="C153" s="51" t="n">
        <x:v>173</x:v>
      </x:c>
      <x:c r="D153" s="50" t="str">
        <x:v>Enfant 4–11 ans</x:v>
      </x:c>
      <x:c r="E153" s="50" t="str">
        <x:v>Carte Familles Nombreuses (-30 %)</x:v>
      </x:c>
      <x:c r="F153" s="52" t="n">
        <x:v>9.9</x:v>
      </x:c>
      <x:c r="G153" s="52" t="n">
        <x:v>16.9</x:v>
      </x:c>
      <x:c r="H153" s="60" t="n">
        <x:f>G153-F153</x:f>
        <x:v>6.999999999999998</x:v>
      </x:c>
      <x:c r="I153" s="50" t="str">
        <x:v>child-famille-nombreuse-30</x:v>
      </x:c>
      <x:c r="J153" s="50" t="str">
        <x:v>lyon-part-dieu|geneve</x:v>
      </x:c>
    </x:row>
    <x:row r="154">
      <x:c r="A154" s="50" t="str">
        <x:v>Lyon Part-Dieu</x:v>
      </x:c>
      <x:c r="B154" s="50" t="str">
        <x:v>Genève</x:v>
      </x:c>
      <x:c r="C154" s="51" t="n">
        <x:v>173</x:v>
      </x:c>
      <x:c r="D154" s="50" t="str">
        <x:v>Enfant 4–11 ans</x:v>
      </x:c>
      <x:c r="E154" s="50" t="str">
        <x:v>Carte Familles Nombreuses (-40 %)</x:v>
      </x:c>
      <x:c r="F154" s="52" t="n">
        <x:v>8.5</x:v>
      </x:c>
      <x:c r="G154" s="52" t="n">
        <x:v>15.5</x:v>
      </x:c>
      <x:c r="H154" s="60" t="n">
        <x:f>G154-F154</x:f>
        <x:v>7</x:v>
      </x:c>
      <x:c r="I154" s="50" t="str">
        <x:v>child-famille-nombreuse-40</x:v>
      </x:c>
      <x:c r="J154" s="50" t="str">
        <x:v>lyon-part-dieu|geneve</x:v>
      </x:c>
    </x:row>
    <x:row r="155">
      <x:c r="A155" s="50" t="str">
        <x:v>Lyon Part-Dieu</x:v>
      </x:c>
      <x:c r="B155" s="50" t="str">
        <x:v>Genève</x:v>
      </x:c>
      <x:c r="C155" s="51" t="n">
        <x:v>173</x:v>
      </x:c>
      <x:c r="D155" s="50" t="str">
        <x:v>Enfant 4–11 ans</x:v>
      </x:c>
      <x:c r="E155" s="50" t="str">
        <x:v>Carte Familles Nombreuses (-50 %)</x:v>
      </x:c>
      <x:c r="F155" s="52" t="n">
        <x:v>7.1</x:v>
      </x:c>
      <x:c r="G155" s="52" t="n">
        <x:v>14.1</x:v>
      </x:c>
      <x:c r="H155" s="60" t="n">
        <x:f>G155-F155</x:f>
        <x:v>7</x:v>
      </x:c>
      <x:c r="I155" s="50" t="str">
        <x:v>child-famille-nombreuse-50</x:v>
      </x:c>
      <x:c r="J155" s="50" t="str">
        <x:v>lyon-part-dieu|geneve</x:v>
      </x:c>
    </x:row>
    <x:row r="156">
      <x:c r="A156" s="50" t="str">
        <x:v>Lyon Part-Dieu</x:v>
      </x:c>
      <x:c r="B156" s="50" t="str">
        <x:v>Genève</x:v>
      </x:c>
      <x:c r="C156" s="51" t="n">
        <x:v>173</x:v>
      </x:c>
      <x:c r="D156" s="50" t="str">
        <x:v>Enfant 4–11 ans</x:v>
      </x:c>
      <x:c r="E156" s="50" t="str">
        <x:v>Carte Familles Nombreuses (-75 %)</x:v>
      </x:c>
      <x:c r="F156" s="52" t="n">
        <x:v>3.6</x:v>
      </x:c>
      <x:c r="G156" s="52" t="n">
        <x:v>10.6</x:v>
      </x:c>
      <x:c r="H156" s="60" t="n">
        <x:f>G156-F156</x:f>
        <x:v>7</x:v>
      </x:c>
      <x:c r="I156" s="50" t="str">
        <x:v>child-famille-nombreuse-75</x:v>
      </x:c>
      <x:c r="J156" s="50" t="str">
        <x:v>lyon-part-dieu|geneve</x:v>
      </x:c>
    </x:row>
    <x:row r="157">
      <x:c r="A157" s="50" t="str">
        <x:v>Meximieux – Pérouges</x:v>
      </x:c>
      <x:c r="B157" s="50" t="str">
        <x:v>Ambérieu-en-Bugey</x:v>
      </x:c>
      <x:c r="C157" s="51" t="n">
        <x:v>14</x:v>
      </x:c>
      <x:c r="D157" s="50" t="str">
        <x:v>Adulte</x:v>
      </x:c>
      <x:c r="E157" s="50" t="str">
        <x:v>Aucune — Plein tarif</x:v>
      </x:c>
      <x:c r="F157" s="52" t="n">
        <x:v>4.3</x:v>
      </x:c>
      <x:c r="G157" s="52" t="n">
        <x:v>6.6</x:v>
      </x:c>
      <x:c r="H157" s="60" t="n">
        <x:f>G157-F157</x:f>
        <x:v>2.3</x:v>
      </x:c>
      <x:c r="I157" s="50" t="str">
        <x:v>adult-none</x:v>
      </x:c>
      <x:c r="J157" s="50" t="str">
        <x:v>meximieux-perouges|amberieu-en-bugey</x:v>
      </x:c>
    </x:row>
    <x:row r="158">
      <x:c r="A158" s="50" t="str">
        <x:v>Meximieux – Pérouges</x:v>
      </x:c>
      <x:c r="B158" s="50" t="str">
        <x:v>Ambérieu-en-Bugey</x:v>
      </x:c>
      <x:c r="C158" s="51" t="n">
        <x:v>14</x:v>
      </x:c>
      <x:c r="D158" s="50" t="str">
        <x:v>Adulte</x:v>
      </x:c>
      <x:c r="E158" s="50" t="str">
        <x:v>illico LIBERTÉ — Semaine (-25 %)</x:v>
      </x:c>
      <x:c r="F158" s="52" t="n">
        <x:v>3.3</x:v>
      </x:c>
      <x:c r="G158" s="52" t="n">
        <x:v>5</x:v>
      </x:c>
      <x:c r="H158" s="60" t="n">
        <x:f>G158-F158</x:f>
        <x:v>1.7000000000000002</x:v>
      </x:c>
      <x:c r="I158" s="50" t="str">
        <x:v>adult-illico-liberte-weekday</x:v>
      </x:c>
      <x:c r="J158" s="50" t="str">
        <x:v>meximieux-perouges|amberieu-en-bugey</x:v>
      </x:c>
    </x:row>
    <x:row r="159">
      <x:c r="A159" s="50" t="str">
        <x:v>Meximieux – Pérouges</x:v>
      </x:c>
      <x:c r="B159" s="50" t="str">
        <x:v>Ambérieu-en-Bugey</x:v>
      </x:c>
      <x:c r="C159" s="51" t="n">
        <x:v>14</x:v>
      </x:c>
      <x:c r="D159" s="50" t="str">
        <x:v>Adulte</x:v>
      </x:c>
      <x:c r="E159" s="50" t="str">
        <x:v>illico LIBERTÉ — Week-end / Jour férié (-50 %)</x:v>
      </x:c>
      <x:c r="F159" s="52" t="n">
        <x:v>2.2</x:v>
      </x:c>
      <x:c r="G159" s="52" t="n">
        <x:v>3.3</x:v>
      </x:c>
      <x:c r="H159" s="60" t="n">
        <x:f>G159-F159</x:f>
        <x:v>1.0999999999999996</x:v>
      </x:c>
      <x:c r="I159" s="50" t="str">
        <x:v>adult-illico-liberte-weekend</x:v>
      </x:c>
      <x:c r="J159" s="50" t="str">
        <x:v>meximieux-perouges|amberieu-en-bugey</x:v>
      </x:c>
    </x:row>
    <x:row r="160">
      <x:c r="A160" s="50" t="str">
        <x:v>Meximieux – Pérouges</x:v>
      </x:c>
      <x:c r="B160" s="50" t="str">
        <x:v>Ambérieu-en-Bugey</x:v>
      </x:c>
      <x:c r="C160" s="51" t="n">
        <x:v>14</x:v>
      </x:c>
      <x:c r="D160" s="50" t="str">
        <x:v>Adulte</x:v>
      </x:c>
      <x:c r="E160" s="50" t="str">
        <x:v>illico LIBERTÉ — Accompagnant, Week-end / Jour férié (-50 %)</x:v>
      </x:c>
      <x:c r="F160" s="52" t="n">
        <x:v>2.2</x:v>
      </x:c>
      <x:c r="G160" s="52" t="n">
        <x:v>3.3</x:v>
      </x:c>
      <x:c r="H160" s="60" t="n">
        <x:f>G160-F160</x:f>
        <x:v>1.0999999999999996</x:v>
      </x:c>
      <x:c r="I160" s="50" t="str">
        <x:v>adult-illico-liberte-weekend-companion</x:v>
      </x:c>
      <x:c r="J160" s="50" t="str">
        <x:v>meximieux-perouges|amberieu-en-bugey</x:v>
      </x:c>
    </x:row>
    <x:row r="161">
      <x:c r="A161" s="50" t="str">
        <x:v>Meximieux – Pérouges</x:v>
      </x:c>
      <x:c r="B161" s="50" t="str">
        <x:v>Ambérieu-en-Bugey</x:v>
      </x:c>
      <x:c r="C161" s="51" t="n">
        <x:v>14</x:v>
      </x:c>
      <x:c r="D161" s="50" t="str">
        <x:v>Adulte</x:v>
      </x:c>
      <x:c r="E161" s="50" t="str">
        <x:v>illico LIBERTÉ JEUNES (-50 %)</x:v>
      </x:c>
      <x:c r="F161" s="52" t="n">
        <x:v>2.2</x:v>
      </x:c>
      <x:c r="G161" s="52" t="n">
        <x:v>3.3</x:v>
      </x:c>
      <x:c r="H161" s="60" t="n">
        <x:f>G161-F161</x:f>
        <x:v>1.0999999999999996</x:v>
      </x:c>
      <x:c r="I161" s="50" t="str">
        <x:v>adult-illico-jeunes</x:v>
      </x:c>
      <x:c r="J161" s="50" t="str">
        <x:v>meximieux-perouges|amberieu-en-bugey</x:v>
      </x:c>
    </x:row>
    <x:row r="162">
      <x:c r="A162" s="50" t="str">
        <x:v>Meximieux – Pérouges</x:v>
      </x:c>
      <x:c r="B162" s="50" t="str">
        <x:v>Ambérieu-en-Bugey</x:v>
      </x:c>
      <x:c r="C162" s="51" t="n">
        <x:v>14</x:v>
      </x:c>
      <x:c r="D162" s="50" t="str">
        <x:v>Adulte</x:v>
      </x:c>
      <x:c r="E162" s="50" t="str">
        <x:v>Carte Liberté SNCF (-25 %)</x:v>
      </x:c>
      <x:c r="F162" s="52" t="n">
        <x:v>3.3</x:v>
      </x:c>
      <x:c r="G162" s="52" t="n">
        <x:v>5</x:v>
      </x:c>
      <x:c r="H162" s="60" t="n">
        <x:f>G162-F162</x:f>
        <x:v>1.7000000000000002</x:v>
      </x:c>
      <x:c r="I162" s="50" t="str">
        <x:v>adult-liberte-nationale</x:v>
      </x:c>
      <x:c r="J162" s="50" t="str">
        <x:v>meximieux-perouges|amberieu-en-bugey</x:v>
      </x:c>
    </x:row>
    <x:row r="163">
      <x:c r="A163" s="50" t="str">
        <x:v>Meximieux – Pérouges</x:v>
      </x:c>
      <x:c r="B163" s="50" t="str">
        <x:v>Ambérieu-en-Bugey</x:v>
      </x:c>
      <x:c r="C163" s="51" t="n">
        <x:v>14</x:v>
      </x:c>
      <x:c r="D163" s="50" t="str">
        <x:v>Adulte</x:v>
      </x:c>
      <x:c r="E163" s="50" t="str">
        <x:v>Carte Familles Nombreuses (-30 %)</x:v>
      </x:c>
      <x:c r="F163" s="52" t="n">
        <x:v>2.5</x:v>
      </x:c>
      <x:c r="G163" s="52" t="n">
        <x:v>4.3</x:v>
      </x:c>
      <x:c r="H163" s="60" t="n">
        <x:f>G163-F163</x:f>
        <x:v>1.7999999999999998</x:v>
      </x:c>
      <x:c r="I163" s="50" t="str">
        <x:v>adult-famille-nombreuse-30</x:v>
      </x:c>
      <x:c r="J163" s="50" t="str">
        <x:v>meximieux-perouges|amberieu-en-bugey</x:v>
      </x:c>
    </x:row>
    <x:row r="164">
      <x:c r="A164" s="50" t="str">
        <x:v>Meximieux – Pérouges</x:v>
      </x:c>
      <x:c r="B164" s="50" t="str">
        <x:v>Ambérieu-en-Bugey</x:v>
      </x:c>
      <x:c r="C164" s="51" t="n">
        <x:v>14</x:v>
      </x:c>
      <x:c r="D164" s="50" t="str">
        <x:v>Adulte</x:v>
      </x:c>
      <x:c r="E164" s="50" t="str">
        <x:v>Carte Familles Nombreuses (-40 %)</x:v>
      </x:c>
      <x:c r="F164" s="52" t="n">
        <x:v>2.1</x:v>
      </x:c>
      <x:c r="G164" s="52" t="n">
        <x:v>3.9</x:v>
      </x:c>
      <x:c r="H164" s="60" t="n">
        <x:f>G164-F164</x:f>
        <x:v>1.7999999999999998</x:v>
      </x:c>
      <x:c r="I164" s="50" t="str">
        <x:v>adult-famille-nombreuse-40</x:v>
      </x:c>
      <x:c r="J164" s="50" t="str">
        <x:v>meximieux-perouges|amberieu-en-bugey</x:v>
      </x:c>
    </x:row>
    <x:row r="165">
      <x:c r="A165" s="50" t="str">
        <x:v>Meximieux – Pérouges</x:v>
      </x:c>
      <x:c r="B165" s="50" t="str">
        <x:v>Ambérieu-en-Bugey</x:v>
      </x:c>
      <x:c r="C165" s="51" t="n">
        <x:v>14</x:v>
      </x:c>
      <x:c r="D165" s="50" t="str">
        <x:v>Adulte</x:v>
      </x:c>
      <x:c r="E165" s="50" t="str">
        <x:v>Carte Familles Nombreuses (-50 %)</x:v>
      </x:c>
      <x:c r="F165" s="52" t="n">
        <x:v>1.8</x:v>
      </x:c>
      <x:c r="G165" s="52" t="n">
        <x:v>3.6</x:v>
      </x:c>
      <x:c r="H165" s="60" t="n">
        <x:f>G165-F165</x:f>
        <x:v>1.8</x:v>
      </x:c>
      <x:c r="I165" s="50" t="str">
        <x:v>adult-famille-nombreuse-50</x:v>
      </x:c>
      <x:c r="J165" s="50" t="str">
        <x:v>meximieux-perouges|amberieu-en-bugey</x:v>
      </x:c>
    </x:row>
    <x:row r="166">
      <x:c r="A166" s="50" t="str">
        <x:v>Meximieux – Pérouges</x:v>
      </x:c>
      <x:c r="B166" s="50" t="str">
        <x:v>Ambérieu-en-Bugey</x:v>
      </x:c>
      <x:c r="C166" s="51" t="n">
        <x:v>14</x:v>
      </x:c>
      <x:c r="D166" s="50" t="str">
        <x:v>Adulte</x:v>
      </x:c>
      <x:c r="E166" s="50" t="str">
        <x:v>Carte Familles Nombreuses (-75 %)</x:v>
      </x:c>
      <x:c r="F166" s="52" t="n">
        <x:v>1.2</x:v>
      </x:c>
      <x:c r="G166" s="52" t="n">
        <x:v>2.7</x:v>
      </x:c>
      <x:c r="H166" s="60" t="n">
        <x:f>G166-F166</x:f>
        <x:v>1.5000000000000002</x:v>
      </x:c>
      <x:c r="I166" s="50" t="str">
        <x:v>adult-famille-nombreuse-75</x:v>
      </x:c>
      <x:c r="J166" s="50" t="str">
        <x:v>meximieux-perouges|amberieu-en-bugey</x:v>
      </x:c>
    </x:row>
    <x:row r="167">
      <x:c r="A167" s="50" t="str">
        <x:v>Meximieux – Pérouges</x:v>
      </x:c>
      <x:c r="B167" s="50" t="str">
        <x:v>Ambérieu-en-Bugey</x:v>
      </x:c>
      <x:c r="C167" s="51" t="n">
        <x:v>14</x:v>
      </x:c>
      <x:c r="D167" s="50" t="str">
        <x:v>Adulte</x:v>
      </x:c>
      <x:c r="E167" s="50" t="str">
        <x:v>Carte Militaire (-75 %)</x:v>
      </x:c>
      <x:c r="F167" s="52" t="n">
        <x:v>1.2</x:v>
      </x:c>
      <x:c r="G167" s="52" t="n">
        <x:v>2.7</x:v>
      </x:c>
      <x:c r="H167" s="60" t="n">
        <x:f>G167-F167</x:f>
        <x:v>1.5000000000000002</x:v>
      </x:c>
      <x:c r="I167" s="50" t="str">
        <x:v>adult-military</x:v>
      </x:c>
      <x:c r="J167" s="50" t="str">
        <x:v>meximieux-perouges|amberieu-en-bugey</x:v>
      </x:c>
    </x:row>
    <x:row r="168">
      <x:c r="A168" s="50" t="str">
        <x:v>Meximieux – Pérouges</x:v>
      </x:c>
      <x:c r="B168" s="50" t="str">
        <x:v>Ambérieu-en-Bugey</x:v>
      </x:c>
      <x:c r="C168" s="51" t="n">
        <x:v>14</x:v>
      </x:c>
      <x:c r="D168" s="50" t="str">
        <x:v>Adulte</x:v>
      </x:c>
      <x:c r="E168" s="50" t="str">
        <x:v>Carte Famille Militaire (-40 %)</x:v>
      </x:c>
      <x:c r="F168" s="52" t="n">
        <x:v>2.6</x:v>
      </x:c>
      <x:c r="G168" s="52" t="n">
        <x:v>4</x:v>
      </x:c>
      <x:c r="H168" s="60" t="n">
        <x:f>G168-F168</x:f>
        <x:v>1.4</x:v>
      </x:c>
      <x:c r="I168" s="50" t="str">
        <x:v>adult-family-military</x:v>
      </x:c>
      <x:c r="J168" s="50" t="str">
        <x:v>meximieux-perouges|amberieu-en-bugey</x:v>
      </x:c>
    </x:row>
    <x:row r="169">
      <x:c r="A169" s="50" t="str">
        <x:v>Meximieux – Pérouges</x:v>
      </x:c>
      <x:c r="B169" s="50" t="str">
        <x:v>Ambérieu-en-Bugey</x:v>
      </x:c>
      <x:c r="C169" s="51" t="n">
        <x:v>14</x:v>
      </x:c>
      <x:c r="D169" s="50" t="str">
        <x:v>Enfant 4–11 ans</x:v>
      </x:c>
      <x:c r="E169" s="50" t="str">
        <x:v>Aucune — Tarif Enfant 4–11 ans</x:v>
      </x:c>
      <x:c r="F169" s="52" t="n">
        <x:v>2.2</x:v>
      </x:c>
      <x:c r="G169" s="52" t="n">
        <x:v>3.3</x:v>
      </x:c>
      <x:c r="H169" s="60" t="n">
        <x:f>G169-F169</x:f>
        <x:v>1.0999999999999996</x:v>
      </x:c>
      <x:c r="I169" s="50" t="str">
        <x:v>child-none</x:v>
      </x:c>
      <x:c r="J169" s="50" t="str">
        <x:v>meximieux-perouges|amberieu-en-bugey</x:v>
      </x:c>
    </x:row>
    <x:row r="170">
      <x:c r="A170" s="50" t="str">
        <x:v>Meximieux – Pérouges</x:v>
      </x:c>
      <x:c r="B170" s="50" t="str">
        <x:v>Ambérieu-en-Bugey</x:v>
      </x:c>
      <x:c r="C170" s="51" t="n">
        <x:v>14</x:v>
      </x:c>
      <x:c r="D170" s="50" t="str">
        <x:v>Enfant 4–11 ans</x:v>
      </x:c>
      <x:c r="E170" s="50" t="str">
        <x:v>illico LIBERTÉ — Accompagnant, Week-end / Jour férié</x:v>
      </x:c>
      <x:c r="F170" s="52" t="n">
        <x:v>1.2</x:v>
      </x:c>
      <x:c r="G170" s="52" t="n">
        <x:v>1.8</x:v>
      </x:c>
      <x:c r="H170" s="60" t="n">
        <x:f>G170-F170</x:f>
        <x:v>0.6000000000000001</x:v>
      </x:c>
      <x:c r="I170" s="50" t="str">
        <x:v>child-illico-liberte-weekend-companion</x:v>
      </x:c>
      <x:c r="J170" s="50" t="str">
        <x:v>meximieux-perouges|amberieu-en-bugey</x:v>
      </x:c>
    </x:row>
    <x:row r="171">
      <x:c r="A171" s="50" t="str">
        <x:v>Meximieux – Pérouges</x:v>
      </x:c>
      <x:c r="B171" s="50" t="str">
        <x:v>Ambérieu-en-Bugey</x:v>
      </x:c>
      <x:c r="C171" s="51" t="n">
        <x:v>14</x:v>
      </x:c>
      <x:c r="D171" s="50" t="str">
        <x:v>Enfant 4–11 ans</x:v>
      </x:c>
      <x:c r="E171" s="50" t="str">
        <x:v>Carte Famille Militaire</x:v>
      </x:c>
      <x:c r="F171" s="52" t="n">
        <x:v>1.3</x:v>
      </x:c>
      <x:c r="G171" s="52" t="n">
        <x:v>2</x:v>
      </x:c>
      <x:c r="H171" s="60" t="n">
        <x:f>G171-F171</x:f>
        <x:v>0.7</x:v>
      </x:c>
      <x:c r="I171" s="50" t="str">
        <x:v>child-family-military</x:v>
      </x:c>
      <x:c r="J171" s="50" t="str">
        <x:v>meximieux-perouges|amberieu-en-bugey</x:v>
      </x:c>
    </x:row>
    <x:row r="172">
      <x:c r="A172" s="50" t="str">
        <x:v>Meximieux – Pérouges</x:v>
      </x:c>
      <x:c r="B172" s="50" t="str">
        <x:v>Ambérieu-en-Bugey</x:v>
      </x:c>
      <x:c r="C172" s="51" t="n">
        <x:v>14</x:v>
      </x:c>
      <x:c r="D172" s="50" t="str">
        <x:v>Enfant 4–11 ans</x:v>
      </x:c>
      <x:c r="E172" s="50" t="str">
        <x:v>Carte Familles Nombreuses (-30 %)</x:v>
      </x:c>
      <x:c r="F172" s="52" t="n">
        <x:v>1.3</x:v>
      </x:c>
      <x:c r="G172" s="52" t="n">
        <x:v>2.2</x:v>
      </x:c>
      <x:c r="H172" s="60" t="n">
        <x:f>G172-F172</x:f>
        <x:v>0.9000000000000001</x:v>
      </x:c>
      <x:c r="I172" s="50" t="str">
        <x:v>child-famille-nombreuse-30</x:v>
      </x:c>
      <x:c r="J172" s="50" t="str">
        <x:v>meximieux-perouges|amberieu-en-bugey</x:v>
      </x:c>
    </x:row>
    <x:row r="173">
      <x:c r="A173" s="50" t="str">
        <x:v>Meximieux – Pérouges</x:v>
      </x:c>
      <x:c r="B173" s="50" t="str">
        <x:v>Ambérieu-en-Bugey</x:v>
      </x:c>
      <x:c r="C173" s="51" t="n">
        <x:v>14</x:v>
      </x:c>
      <x:c r="D173" s="50" t="str">
        <x:v>Enfant 4–11 ans</x:v>
      </x:c>
      <x:c r="E173" s="50" t="str">
        <x:v>Carte Familles Nombreuses (-40 %)</x:v>
      </x:c>
      <x:c r="F173" s="52" t="n">
        <x:v>1.2</x:v>
      </x:c>
      <x:c r="G173" s="52" t="n">
        <x:v>2</x:v>
      </x:c>
      <x:c r="H173" s="60" t="n">
        <x:f>G173-F173</x:f>
        <x:v>0.8</x:v>
      </x:c>
      <x:c r="I173" s="50" t="str">
        <x:v>child-famille-nombreuse-40</x:v>
      </x:c>
      <x:c r="J173" s="50" t="str">
        <x:v>meximieux-perouges|amberieu-en-bugey</x:v>
      </x:c>
    </x:row>
    <x:row r="174">
      <x:c r="A174" s="50" t="str">
        <x:v>Meximieux – Pérouges</x:v>
      </x:c>
      <x:c r="B174" s="50" t="str">
        <x:v>Ambérieu-en-Bugey</x:v>
      </x:c>
      <x:c r="C174" s="51" t="n">
        <x:v>14</x:v>
      </x:c>
      <x:c r="D174" s="50" t="str">
        <x:v>Enfant 4–11 ans</x:v>
      </x:c>
      <x:c r="E174" s="50" t="str">
        <x:v>Carte Familles Nombreuses (-50 %)</x:v>
      </x:c>
      <x:c r="F174" s="52" t="n">
        <x:v>1.2</x:v>
      </x:c>
      <x:c r="G174" s="52" t="n">
        <x:v>1.8</x:v>
      </x:c>
      <x:c r="H174" s="60" t="n">
        <x:f>G174-F174</x:f>
        <x:v>0.6000000000000001</x:v>
      </x:c>
      <x:c r="I174" s="50" t="str">
        <x:v>child-famille-nombreuse-50</x:v>
      </x:c>
      <x:c r="J174" s="50" t="str">
        <x:v>meximieux-perouges|amberieu-en-bugey</x:v>
      </x:c>
    </x:row>
    <x:row r="175">
      <x:c r="A175" s="50" t="str">
        <x:v>Meximieux – Pérouges</x:v>
      </x:c>
      <x:c r="B175" s="50" t="str">
        <x:v>Ambérieu-en-Bugey</x:v>
      </x:c>
      <x:c r="C175" s="51" t="n">
        <x:v>14</x:v>
      </x:c>
      <x:c r="D175" s="50" t="str">
        <x:v>Enfant 4–11 ans</x:v>
      </x:c>
      <x:c r="E175" s="50" t="str">
        <x:v>Carte Familles Nombreuses (-75 %)</x:v>
      </x:c>
      <x:c r="F175" s="52" t="n">
        <x:v>1.2</x:v>
      </x:c>
      <x:c r="G175" s="52" t="n">
        <x:v>1.4</x:v>
      </x:c>
      <x:c r="H175" s="60" t="n">
        <x:f>G175-F175</x:f>
        <x:v>0.19999999999999996</x:v>
      </x:c>
      <x:c r="I175" s="50" t="str">
        <x:v>child-famille-nombreuse-75</x:v>
      </x:c>
      <x:c r="J175" s="50" t="str">
        <x:v>meximieux-perouges|amberieu-en-bugey</x:v>
      </x:c>
    </x:row>
    <x:row r="176">
      <x:c r="A176" s="50" t="str">
        <x:v>Meximieux – Pérouges</x:v>
      </x:c>
      <x:c r="B176" s="50" t="str">
        <x:v>Tenay-Hauteville</x:v>
      </x:c>
      <x:c r="C176" s="51" t="n">
        <x:v>32</x:v>
      </x:c>
      <x:c r="D176" s="50" t="str">
        <x:v>Adulte</x:v>
      </x:c>
      <x:c r="E176" s="50" t="str">
        <x:v>Aucune — Plein tarif</x:v>
      </x:c>
      <x:c r="F176" s="52" t="n">
        <x:v>9</x:v>
      </x:c>
      <x:c r="G176" s="52" t="n">
        <x:v>13.7</x:v>
      </x:c>
      <x:c r="H176" s="60" t="n">
        <x:f>G176-F176</x:f>
        <x:v>4.699999999999999</x:v>
      </x:c>
      <x:c r="I176" s="50" t="str">
        <x:v>adult-none</x:v>
      </x:c>
      <x:c r="J176" s="50" t="str">
        <x:v>meximieux-perouges|tenay-hauteville</x:v>
      </x:c>
    </x:row>
    <x:row r="177">
      <x:c r="A177" s="50" t="str">
        <x:v>Meximieux – Pérouges</x:v>
      </x:c>
      <x:c r="B177" s="50" t="str">
        <x:v>Tenay-Hauteville</x:v>
      </x:c>
      <x:c r="C177" s="51" t="n">
        <x:v>32</x:v>
      </x:c>
      <x:c r="D177" s="50" t="str">
        <x:v>Adulte</x:v>
      </x:c>
      <x:c r="E177" s="50" t="str">
        <x:v>illico LIBERTÉ — Semaine (-25 %)</x:v>
      </x:c>
      <x:c r="F177" s="52" t="n">
        <x:v>6.8</x:v>
      </x:c>
      <x:c r="G177" s="52" t="n">
        <x:v>10.3</x:v>
      </x:c>
      <x:c r="H177" s="60" t="n">
        <x:f>G177-F177</x:f>
        <x:v>3.500000000000001</x:v>
      </x:c>
      <x:c r="I177" s="50" t="str">
        <x:v>adult-illico-liberte-weekday</x:v>
      </x:c>
      <x:c r="J177" s="50" t="str">
        <x:v>meximieux-perouges|tenay-hauteville</x:v>
      </x:c>
    </x:row>
    <x:row r="178">
      <x:c r="A178" s="50" t="str">
        <x:v>Meximieux – Pérouges</x:v>
      </x:c>
      <x:c r="B178" s="50" t="str">
        <x:v>Tenay-Hauteville</x:v>
      </x:c>
      <x:c r="C178" s="51" t="n">
        <x:v>32</x:v>
      </x:c>
      <x:c r="D178" s="50" t="str">
        <x:v>Adulte</x:v>
      </x:c>
      <x:c r="E178" s="50" t="str">
        <x:v>illico LIBERTÉ — Week-end / Jour férié (-50 %)</x:v>
      </x:c>
      <x:c r="F178" s="52" t="n">
        <x:v>4.5</x:v>
      </x:c>
      <x:c r="G178" s="52" t="n">
        <x:v>6.9</x:v>
      </x:c>
      <x:c r="H178" s="60" t="n">
        <x:f>G178-F178</x:f>
        <x:v>2.4000000000000004</x:v>
      </x:c>
      <x:c r="I178" s="50" t="str">
        <x:v>adult-illico-liberte-weekend</x:v>
      </x:c>
      <x:c r="J178" s="50" t="str">
        <x:v>meximieux-perouges|tenay-hauteville</x:v>
      </x:c>
    </x:row>
    <x:row r="179">
      <x:c r="A179" s="50" t="str">
        <x:v>Meximieux – Pérouges</x:v>
      </x:c>
      <x:c r="B179" s="50" t="str">
        <x:v>Tenay-Hauteville</x:v>
      </x:c>
      <x:c r="C179" s="51" t="n">
        <x:v>32</x:v>
      </x:c>
      <x:c r="D179" s="50" t="str">
        <x:v>Adulte</x:v>
      </x:c>
      <x:c r="E179" s="50" t="str">
        <x:v>illico LIBERTÉ — Accompagnant, Week-end / Jour férié (-50 %)</x:v>
      </x:c>
      <x:c r="F179" s="52" t="n">
        <x:v>4.5</x:v>
      </x:c>
      <x:c r="G179" s="52" t="n">
        <x:v>6.9</x:v>
      </x:c>
      <x:c r="H179" s="60" t="n">
        <x:f>G179-F179</x:f>
        <x:v>2.4000000000000004</x:v>
      </x:c>
      <x:c r="I179" s="50" t="str">
        <x:v>adult-illico-liberte-weekend-companion</x:v>
      </x:c>
      <x:c r="J179" s="50" t="str">
        <x:v>meximieux-perouges|tenay-hauteville</x:v>
      </x:c>
    </x:row>
    <x:row r="180">
      <x:c r="A180" s="50" t="str">
        <x:v>Meximieux – Pérouges</x:v>
      </x:c>
      <x:c r="B180" s="50" t="str">
        <x:v>Tenay-Hauteville</x:v>
      </x:c>
      <x:c r="C180" s="51" t="n">
        <x:v>32</x:v>
      </x:c>
      <x:c r="D180" s="50" t="str">
        <x:v>Adulte</x:v>
      </x:c>
      <x:c r="E180" s="50" t="str">
        <x:v>illico LIBERTÉ JEUNES (-50 %)</x:v>
      </x:c>
      <x:c r="F180" s="52" t="n">
        <x:v>4.5</x:v>
      </x:c>
      <x:c r="G180" s="52" t="n">
        <x:v>6.9</x:v>
      </x:c>
      <x:c r="H180" s="60" t="n">
        <x:f>G180-F180</x:f>
        <x:v>2.4000000000000004</x:v>
      </x:c>
      <x:c r="I180" s="50" t="str">
        <x:v>adult-illico-jeunes</x:v>
      </x:c>
      <x:c r="J180" s="50" t="str">
        <x:v>meximieux-perouges|tenay-hauteville</x:v>
      </x:c>
    </x:row>
    <x:row r="181">
      <x:c r="A181" s="50" t="str">
        <x:v>Meximieux – Pérouges</x:v>
      </x:c>
      <x:c r="B181" s="50" t="str">
        <x:v>Tenay-Hauteville</x:v>
      </x:c>
      <x:c r="C181" s="51" t="n">
        <x:v>32</x:v>
      </x:c>
      <x:c r="D181" s="50" t="str">
        <x:v>Adulte</x:v>
      </x:c>
      <x:c r="E181" s="50" t="str">
        <x:v>Carte Liberté SNCF (-25 %)</x:v>
      </x:c>
      <x:c r="F181" s="52" t="n">
        <x:v>6.8</x:v>
      </x:c>
      <x:c r="G181" s="52" t="n">
        <x:v>10.3</x:v>
      </x:c>
      <x:c r="H181" s="60" t="n">
        <x:f>G181-F181</x:f>
        <x:v>3.500000000000001</x:v>
      </x:c>
      <x:c r="I181" s="50" t="str">
        <x:v>adult-liberte-nationale</x:v>
      </x:c>
      <x:c r="J181" s="50" t="str">
        <x:v>meximieux-perouges|tenay-hauteville</x:v>
      </x:c>
    </x:row>
    <x:row r="182">
      <x:c r="A182" s="50" t="str">
        <x:v>Meximieux – Pérouges</x:v>
      </x:c>
      <x:c r="B182" s="50" t="str">
        <x:v>Tenay-Hauteville</x:v>
      </x:c>
      <x:c r="C182" s="51" t="n">
        <x:v>32</x:v>
      </x:c>
      <x:c r="D182" s="50" t="str">
        <x:v>Adulte</x:v>
      </x:c>
      <x:c r="E182" s="50" t="str">
        <x:v>Carte Familles Nombreuses (-30 %)</x:v>
      </x:c>
      <x:c r="F182" s="52" t="n">
        <x:v>5.2</x:v>
      </x:c>
      <x:c r="G182" s="52" t="n">
        <x:v>8.9</x:v>
      </x:c>
      <x:c r="H182" s="60" t="n">
        <x:f>G182-F182</x:f>
        <x:v>3.7</x:v>
      </x:c>
      <x:c r="I182" s="50" t="str">
        <x:v>adult-famille-nombreuse-30</x:v>
      </x:c>
      <x:c r="J182" s="50" t="str">
        <x:v>meximieux-perouges|tenay-hauteville</x:v>
      </x:c>
    </x:row>
    <x:row r="183">
      <x:c r="A183" s="50" t="str">
        <x:v>Meximieux – Pérouges</x:v>
      </x:c>
      <x:c r="B183" s="50" t="str">
        <x:v>Tenay-Hauteville</x:v>
      </x:c>
      <x:c r="C183" s="51" t="n">
        <x:v>32</x:v>
      </x:c>
      <x:c r="D183" s="50" t="str">
        <x:v>Adulte</x:v>
      </x:c>
      <x:c r="E183" s="50" t="str">
        <x:v>Carte Familles Nombreuses (-40 %)</x:v>
      </x:c>
      <x:c r="F183" s="52" t="n">
        <x:v>4.5</x:v>
      </x:c>
      <x:c r="G183" s="52" t="n">
        <x:v>8.2</x:v>
      </x:c>
      <x:c r="H183" s="60" t="n">
        <x:f>G183-F183</x:f>
        <x:v>3.6999999999999993</x:v>
      </x:c>
      <x:c r="I183" s="50" t="str">
        <x:v>adult-famille-nombreuse-40</x:v>
      </x:c>
      <x:c r="J183" s="50" t="str">
        <x:v>meximieux-perouges|tenay-hauteville</x:v>
      </x:c>
    </x:row>
    <x:row r="184">
      <x:c r="A184" s="50" t="str">
        <x:v>Meximieux – Pérouges</x:v>
      </x:c>
      <x:c r="B184" s="50" t="str">
        <x:v>Tenay-Hauteville</x:v>
      </x:c>
      <x:c r="C184" s="51" t="n">
        <x:v>32</x:v>
      </x:c>
      <x:c r="D184" s="50" t="str">
        <x:v>Adulte</x:v>
      </x:c>
      <x:c r="E184" s="50" t="str">
        <x:v>Carte Familles Nombreuses (-50 %)</x:v>
      </x:c>
      <x:c r="F184" s="52" t="n">
        <x:v>3.7</x:v>
      </x:c>
      <x:c r="G184" s="52" t="n">
        <x:v>7.4</x:v>
      </x:c>
      <x:c r="H184" s="60" t="n">
        <x:f>G184-F184</x:f>
        <x:v>3.7</x:v>
      </x:c>
      <x:c r="I184" s="50" t="str">
        <x:v>adult-famille-nombreuse-50</x:v>
      </x:c>
      <x:c r="J184" s="50" t="str">
        <x:v>meximieux-perouges|tenay-hauteville</x:v>
      </x:c>
    </x:row>
    <x:row r="185">
      <x:c r="A185" s="50" t="str">
        <x:v>Meximieux – Pérouges</x:v>
      </x:c>
      <x:c r="B185" s="50" t="str">
        <x:v>Tenay-Hauteville</x:v>
      </x:c>
      <x:c r="C185" s="51" t="n">
        <x:v>32</x:v>
      </x:c>
      <x:c r="D185" s="50" t="str">
        <x:v>Adulte</x:v>
      </x:c>
      <x:c r="E185" s="50" t="str">
        <x:v>Carte Familles Nombreuses (-75 %)</x:v>
      </x:c>
      <x:c r="F185" s="52" t="n">
        <x:v>1.9</x:v>
      </x:c>
      <x:c r="G185" s="52" t="n">
        <x:v>5.6</x:v>
      </x:c>
      <x:c r="H185" s="60" t="n">
        <x:f>G185-F185</x:f>
        <x:v>3.6999999999999997</x:v>
      </x:c>
      <x:c r="I185" s="50" t="str">
        <x:v>adult-famille-nombreuse-75</x:v>
      </x:c>
      <x:c r="J185" s="50" t="str">
        <x:v>meximieux-perouges|tenay-hauteville</x:v>
      </x:c>
    </x:row>
    <x:row r="186">
      <x:c r="A186" s="50" t="str">
        <x:v>Meximieux – Pérouges</x:v>
      </x:c>
      <x:c r="B186" s="50" t="str">
        <x:v>Tenay-Hauteville</x:v>
      </x:c>
      <x:c r="C186" s="51" t="n">
        <x:v>32</x:v>
      </x:c>
      <x:c r="D186" s="50" t="str">
        <x:v>Adulte</x:v>
      </x:c>
      <x:c r="E186" s="50" t="str">
        <x:v>Carte Militaire (-75 %)</x:v>
      </x:c>
      <x:c r="F186" s="52" t="n">
        <x:v>1.9</x:v>
      </x:c>
      <x:c r="G186" s="52" t="n">
        <x:v>5.6</x:v>
      </x:c>
      <x:c r="H186" s="60" t="n">
        <x:f>G186-F186</x:f>
        <x:v>3.6999999999999997</x:v>
      </x:c>
      <x:c r="I186" s="50" t="str">
        <x:v>adult-military</x:v>
      </x:c>
      <x:c r="J186" s="50" t="str">
        <x:v>meximieux-perouges|tenay-hauteville</x:v>
      </x:c>
    </x:row>
    <x:row r="187">
      <x:c r="A187" s="50" t="str">
        <x:v>Meximieux – Pérouges</x:v>
      </x:c>
      <x:c r="B187" s="50" t="str">
        <x:v>Tenay-Hauteville</x:v>
      </x:c>
      <x:c r="C187" s="51" t="n">
        <x:v>32</x:v>
      </x:c>
      <x:c r="D187" s="50" t="str">
        <x:v>Adulte</x:v>
      </x:c>
      <x:c r="E187" s="50" t="str">
        <x:v>Carte Famille Militaire (-40 %)</x:v>
      </x:c>
      <x:c r="F187" s="52" t="n">
        <x:v>5.4</x:v>
      </x:c>
      <x:c r="G187" s="52" t="n">
        <x:v>8.3</x:v>
      </x:c>
      <x:c r="H187" s="60" t="n">
        <x:f>G187-F187</x:f>
        <x:v>2.9000000000000004</x:v>
      </x:c>
      <x:c r="I187" s="50" t="str">
        <x:v>adult-family-military</x:v>
      </x:c>
      <x:c r="J187" s="50" t="str">
        <x:v>meximieux-perouges|tenay-hauteville</x:v>
      </x:c>
    </x:row>
    <x:row r="188">
      <x:c r="A188" s="50" t="str">
        <x:v>Meximieux – Pérouges</x:v>
      </x:c>
      <x:c r="B188" s="50" t="str">
        <x:v>Tenay-Hauteville</x:v>
      </x:c>
      <x:c r="C188" s="51" t="n">
        <x:v>32</x:v>
      </x:c>
      <x:c r="D188" s="50" t="str">
        <x:v>Enfant 4–11 ans</x:v>
      </x:c>
      <x:c r="E188" s="50" t="str">
        <x:v>Aucune — Tarif Enfant 4–11 ans</x:v>
      </x:c>
      <x:c r="F188" s="52" t="n">
        <x:v>4.5</x:v>
      </x:c>
      <x:c r="G188" s="52" t="n">
        <x:v>6.9</x:v>
      </x:c>
      <x:c r="H188" s="60" t="n">
        <x:f>G188-F188</x:f>
        <x:v>2.4000000000000004</x:v>
      </x:c>
      <x:c r="I188" s="50" t="str">
        <x:v>child-none</x:v>
      </x:c>
      <x:c r="J188" s="50" t="str">
        <x:v>meximieux-perouges|tenay-hauteville</x:v>
      </x:c>
    </x:row>
    <x:row r="189">
      <x:c r="A189" s="50" t="str">
        <x:v>Meximieux – Pérouges</x:v>
      </x:c>
      <x:c r="B189" s="50" t="str">
        <x:v>Tenay-Hauteville</x:v>
      </x:c>
      <x:c r="C189" s="51" t="n">
        <x:v>32</x:v>
      </x:c>
      <x:c r="D189" s="50" t="str">
        <x:v>Enfant 4–11 ans</x:v>
      </x:c>
      <x:c r="E189" s="50" t="str">
        <x:v>illico LIBERTÉ — Accompagnant, Week-end / Jour férié</x:v>
      </x:c>
      <x:c r="F189" s="52" t="n">
        <x:v>2.3</x:v>
      </x:c>
      <x:c r="G189" s="52" t="n">
        <x:v>3.5</x:v>
      </x:c>
      <x:c r="H189" s="60" t="n">
        <x:f>G189-F189</x:f>
        <x:v>1.2000000000000002</x:v>
      </x:c>
      <x:c r="I189" s="50" t="str">
        <x:v>child-illico-liberte-weekend-companion</x:v>
      </x:c>
      <x:c r="J189" s="50" t="str">
        <x:v>meximieux-perouges|tenay-hauteville</x:v>
      </x:c>
    </x:row>
    <x:row r="190">
      <x:c r="A190" s="50" t="str">
        <x:v>Meximieux – Pérouges</x:v>
      </x:c>
      <x:c r="B190" s="50" t="str">
        <x:v>Tenay-Hauteville</x:v>
      </x:c>
      <x:c r="C190" s="51" t="n">
        <x:v>32</x:v>
      </x:c>
      <x:c r="D190" s="50" t="str">
        <x:v>Enfant 4–11 ans</x:v>
      </x:c>
      <x:c r="E190" s="50" t="str">
        <x:v>Carte Famille Militaire</x:v>
      </x:c>
      <x:c r="F190" s="52" t="n">
        <x:v>2.7</x:v>
      </x:c>
      <x:c r="G190" s="52" t="n">
        <x:v>4.2</x:v>
      </x:c>
      <x:c r="H190" s="60" t="n">
        <x:f>G190-F190</x:f>
        <x:v>1.5</x:v>
      </x:c>
      <x:c r="I190" s="50" t="str">
        <x:v>child-family-military</x:v>
      </x:c>
      <x:c r="J190" s="50" t="str">
        <x:v>meximieux-perouges|tenay-hauteville</x:v>
      </x:c>
    </x:row>
    <x:row r="191">
      <x:c r="A191" s="50" t="str">
        <x:v>Meximieux – Pérouges</x:v>
      </x:c>
      <x:c r="B191" s="50" t="str">
        <x:v>Tenay-Hauteville</x:v>
      </x:c>
      <x:c r="C191" s="51" t="n">
        <x:v>32</x:v>
      </x:c>
      <x:c r="D191" s="50" t="str">
        <x:v>Enfant 4–11 ans</x:v>
      </x:c>
      <x:c r="E191" s="50" t="str">
        <x:v>Carte Familles Nombreuses (-30 %)</x:v>
      </x:c>
      <x:c r="F191" s="52" t="n">
        <x:v>2.6</x:v>
      </x:c>
      <x:c r="G191" s="52" t="n">
        <x:v>4.5</x:v>
      </x:c>
      <x:c r="H191" s="60" t="n">
        <x:f>G191-F191</x:f>
        <x:v>1.9</x:v>
      </x:c>
      <x:c r="I191" s="50" t="str">
        <x:v>child-famille-nombreuse-30</x:v>
      </x:c>
      <x:c r="J191" s="50" t="str">
        <x:v>meximieux-perouges|tenay-hauteville</x:v>
      </x:c>
    </x:row>
    <x:row r="192">
      <x:c r="A192" s="50" t="str">
        <x:v>Meximieux – Pérouges</x:v>
      </x:c>
      <x:c r="B192" s="50" t="str">
        <x:v>Tenay-Hauteville</x:v>
      </x:c>
      <x:c r="C192" s="51" t="n">
        <x:v>32</x:v>
      </x:c>
      <x:c r="D192" s="50" t="str">
        <x:v>Enfant 4–11 ans</x:v>
      </x:c>
      <x:c r="E192" s="50" t="str">
        <x:v>Carte Familles Nombreuses (-40 %)</x:v>
      </x:c>
      <x:c r="F192" s="52" t="n">
        <x:v>2.3</x:v>
      </x:c>
      <x:c r="G192" s="52" t="n">
        <x:v>4.1</x:v>
      </x:c>
      <x:c r="H192" s="60" t="n">
        <x:f>G192-F192</x:f>
        <x:v>1.7999999999999998</x:v>
      </x:c>
      <x:c r="I192" s="50" t="str">
        <x:v>child-famille-nombreuse-40</x:v>
      </x:c>
      <x:c r="J192" s="50" t="str">
        <x:v>meximieux-perouges|tenay-hauteville</x:v>
      </x:c>
    </x:row>
    <x:row r="193">
      <x:c r="A193" s="50" t="str">
        <x:v>Meximieux – Pérouges</x:v>
      </x:c>
      <x:c r="B193" s="50" t="str">
        <x:v>Tenay-Hauteville</x:v>
      </x:c>
      <x:c r="C193" s="51" t="n">
        <x:v>32</x:v>
      </x:c>
      <x:c r="D193" s="50" t="str">
        <x:v>Enfant 4–11 ans</x:v>
      </x:c>
      <x:c r="E193" s="50" t="str">
        <x:v>Carte Familles Nombreuses (-50 %)</x:v>
      </x:c>
      <x:c r="F193" s="52" t="n">
        <x:v>1.9</x:v>
      </x:c>
      <x:c r="G193" s="52" t="n">
        <x:v>3.7</x:v>
      </x:c>
      <x:c r="H193" s="60" t="n">
        <x:f>G193-F193</x:f>
        <x:v>1.8000000000000003</x:v>
      </x:c>
      <x:c r="I193" s="50" t="str">
        <x:v>child-famille-nombreuse-50</x:v>
      </x:c>
      <x:c r="J193" s="50" t="str">
        <x:v>meximieux-perouges|tenay-hauteville</x:v>
      </x:c>
    </x:row>
    <x:row r="194">
      <x:c r="A194" s="50" t="str">
        <x:v>Meximieux – Pérouges</x:v>
      </x:c>
      <x:c r="B194" s="50" t="str">
        <x:v>Tenay-Hauteville</x:v>
      </x:c>
      <x:c r="C194" s="51" t="n">
        <x:v>32</x:v>
      </x:c>
      <x:c r="D194" s="50" t="str">
        <x:v>Enfant 4–11 ans</x:v>
      </x:c>
      <x:c r="E194" s="50" t="str">
        <x:v>Carte Familles Nombreuses (-75 %)</x:v>
      </x:c>
      <x:c r="F194" s="52" t="n">
        <x:v>1.2</x:v>
      </x:c>
      <x:c r="G194" s="52" t="n">
        <x:v>2.8</x:v>
      </x:c>
      <x:c r="H194" s="60" t="n">
        <x:f>G194-F194</x:f>
        <x:v>1.5999999999999999</x:v>
      </x:c>
      <x:c r="I194" s="50" t="str">
        <x:v>child-famille-nombreuse-75</x:v>
      </x:c>
      <x:c r="J194" s="50" t="str">
        <x:v>meximieux-perouges|tenay-hauteville</x:v>
      </x:c>
    </x:row>
    <x:row r="195">
      <x:c r="A195" s="50" t="str">
        <x:v>Meximieux – Pérouges</x:v>
      </x:c>
      <x:c r="B195" s="50" t="str">
        <x:v>Virieu-le-Grand – Belley</x:v>
      </x:c>
      <x:c r="C195" s="51" t="n">
        <x:v>53</x:v>
      </x:c>
      <x:c r="D195" s="50" t="str">
        <x:v>Adulte</x:v>
      </x:c>
      <x:c r="E195" s="50" t="str">
        <x:v>Aucune — Plein tarif</x:v>
      </x:c>
      <x:c r="F195" s="52" t="n">
        <x:v>13.2</x:v>
      </x:c>
      <x:c r="G195" s="52" t="n">
        <x:v>20</x:v>
      </x:c>
      <x:c r="H195" s="60" t="n">
        <x:f>G195-F195</x:f>
        <x:v>6.800000000000001</x:v>
      </x:c>
      <x:c r="I195" s="50" t="str">
        <x:v>adult-none</x:v>
      </x:c>
      <x:c r="J195" s="50" t="str">
        <x:v>meximieux-perouges|virieu-le-grand-belley</x:v>
      </x:c>
    </x:row>
    <x:row r="196">
      <x:c r="A196" s="50" t="str">
        <x:v>Meximieux – Pérouges</x:v>
      </x:c>
      <x:c r="B196" s="50" t="str">
        <x:v>Virieu-le-Grand – Belley</x:v>
      </x:c>
      <x:c r="C196" s="51" t="n">
        <x:v>53</x:v>
      </x:c>
      <x:c r="D196" s="50" t="str">
        <x:v>Adulte</x:v>
      </x:c>
      <x:c r="E196" s="50" t="str">
        <x:v>illico LIBERTÉ — Semaine (-25 %)</x:v>
      </x:c>
      <x:c r="F196" s="52" t="n">
        <x:v>9.9</x:v>
      </x:c>
      <x:c r="G196" s="52" t="n">
        <x:v>15</x:v>
      </x:c>
      <x:c r="H196" s="60" t="n">
        <x:f>G196-F196</x:f>
        <x:v>5.1</x:v>
      </x:c>
      <x:c r="I196" s="50" t="str">
        <x:v>adult-illico-liberte-weekday</x:v>
      </x:c>
      <x:c r="J196" s="50" t="str">
        <x:v>meximieux-perouges|virieu-le-grand-belley</x:v>
      </x:c>
    </x:row>
    <x:row r="197">
      <x:c r="A197" s="50" t="str">
        <x:v>Meximieux – Pérouges</x:v>
      </x:c>
      <x:c r="B197" s="50" t="str">
        <x:v>Virieu-le-Grand – Belley</x:v>
      </x:c>
      <x:c r="C197" s="51" t="n">
        <x:v>53</x:v>
      </x:c>
      <x:c r="D197" s="50" t="str">
        <x:v>Adulte</x:v>
      </x:c>
      <x:c r="E197" s="50" t="str">
        <x:v>illico LIBERTÉ — Week-end / Jour férié (-50 %)</x:v>
      </x:c>
      <x:c r="F197" s="52" t="n">
        <x:v>6.6</x:v>
      </x:c>
      <x:c r="G197" s="52" t="n">
        <x:v>10</x:v>
      </x:c>
      <x:c r="H197" s="60" t="n">
        <x:f>G197-F197</x:f>
        <x:v>3.4000000000000004</x:v>
      </x:c>
      <x:c r="I197" s="50" t="str">
        <x:v>adult-illico-liberte-weekend</x:v>
      </x:c>
      <x:c r="J197" s="50" t="str">
        <x:v>meximieux-perouges|virieu-le-grand-belley</x:v>
      </x:c>
    </x:row>
    <x:row r="198">
      <x:c r="A198" s="50" t="str">
        <x:v>Meximieux – Pérouges</x:v>
      </x:c>
      <x:c r="B198" s="50" t="str">
        <x:v>Virieu-le-Grand – Belley</x:v>
      </x:c>
      <x:c r="C198" s="51" t="n">
        <x:v>53</x:v>
      </x:c>
      <x:c r="D198" s="50" t="str">
        <x:v>Adulte</x:v>
      </x:c>
      <x:c r="E198" s="50" t="str">
        <x:v>illico LIBERTÉ — Accompagnant, Week-end / Jour férié (-50 %)</x:v>
      </x:c>
      <x:c r="F198" s="52" t="n">
        <x:v>6.6</x:v>
      </x:c>
      <x:c r="G198" s="52" t="n">
        <x:v>10</x:v>
      </x:c>
      <x:c r="H198" s="60" t="n">
        <x:f>G198-F198</x:f>
        <x:v>3.4000000000000004</x:v>
      </x:c>
      <x:c r="I198" s="50" t="str">
        <x:v>adult-illico-liberte-weekend-companion</x:v>
      </x:c>
      <x:c r="J198" s="50" t="str">
        <x:v>meximieux-perouges|virieu-le-grand-belley</x:v>
      </x:c>
    </x:row>
    <x:row r="199">
      <x:c r="A199" s="50" t="str">
        <x:v>Meximieux – Pérouges</x:v>
      </x:c>
      <x:c r="B199" s="50" t="str">
        <x:v>Virieu-le-Grand – Belley</x:v>
      </x:c>
      <x:c r="C199" s="51" t="n">
        <x:v>53</x:v>
      </x:c>
      <x:c r="D199" s="50" t="str">
        <x:v>Adulte</x:v>
      </x:c>
      <x:c r="E199" s="50" t="str">
        <x:v>illico LIBERTÉ JEUNES (-50 %)</x:v>
      </x:c>
      <x:c r="F199" s="52" t="n">
        <x:v>6.6</x:v>
      </x:c>
      <x:c r="G199" s="52" t="n">
        <x:v>10</x:v>
      </x:c>
      <x:c r="H199" s="60" t="n">
        <x:f>G199-F199</x:f>
        <x:v>3.4000000000000004</x:v>
      </x:c>
      <x:c r="I199" s="50" t="str">
        <x:v>adult-illico-jeunes</x:v>
      </x:c>
      <x:c r="J199" s="50" t="str">
        <x:v>meximieux-perouges|virieu-le-grand-belley</x:v>
      </x:c>
    </x:row>
    <x:row r="200">
      <x:c r="A200" s="50" t="str">
        <x:v>Meximieux – Pérouges</x:v>
      </x:c>
      <x:c r="B200" s="50" t="str">
        <x:v>Virieu-le-Grand – Belley</x:v>
      </x:c>
      <x:c r="C200" s="51" t="n">
        <x:v>53</x:v>
      </x:c>
      <x:c r="D200" s="50" t="str">
        <x:v>Adulte</x:v>
      </x:c>
      <x:c r="E200" s="50" t="str">
        <x:v>Carte Liberté SNCF (-25 %)</x:v>
      </x:c>
      <x:c r="F200" s="52" t="n">
        <x:v>9.9</x:v>
      </x:c>
      <x:c r="G200" s="52" t="n">
        <x:v>15</x:v>
      </x:c>
      <x:c r="H200" s="60" t="n">
        <x:f>G200-F200</x:f>
        <x:v>5.1</x:v>
      </x:c>
      <x:c r="I200" s="50" t="str">
        <x:v>adult-liberte-nationale</x:v>
      </x:c>
      <x:c r="J200" s="50" t="str">
        <x:v>meximieux-perouges|virieu-le-grand-belley</x:v>
      </x:c>
    </x:row>
    <x:row r="201">
      <x:c r="A201" s="50" t="str">
        <x:v>Meximieux – Pérouges</x:v>
      </x:c>
      <x:c r="B201" s="50" t="str">
        <x:v>Virieu-le-Grand – Belley</x:v>
      </x:c>
      <x:c r="C201" s="51" t="n">
        <x:v>53</x:v>
      </x:c>
      <x:c r="D201" s="50" t="str">
        <x:v>Adulte</x:v>
      </x:c>
      <x:c r="E201" s="50" t="str">
        <x:v>Carte Familles Nombreuses (-30 %)</x:v>
      </x:c>
      <x:c r="F201" s="52" t="n">
        <x:v>7.5</x:v>
      </x:c>
      <x:c r="G201" s="52" t="n">
        <x:v>12.9</x:v>
      </x:c>
      <x:c r="H201" s="60" t="n">
        <x:f>G201-F201</x:f>
        <x:v>5.4</x:v>
      </x:c>
      <x:c r="I201" s="50" t="str">
        <x:v>adult-famille-nombreuse-30</x:v>
      </x:c>
      <x:c r="J201" s="50" t="str">
        <x:v>meximieux-perouges|virieu-le-grand-belley</x:v>
      </x:c>
    </x:row>
    <x:row r="202">
      <x:c r="A202" s="50" t="str">
        <x:v>Meximieux – Pérouges</x:v>
      </x:c>
      <x:c r="B202" s="50" t="str">
        <x:v>Virieu-le-Grand – Belley</x:v>
      </x:c>
      <x:c r="C202" s="51" t="n">
        <x:v>53</x:v>
      </x:c>
      <x:c r="D202" s="50" t="str">
        <x:v>Adulte</x:v>
      </x:c>
      <x:c r="E202" s="50" t="str">
        <x:v>Carte Familles Nombreuses (-40 %)</x:v>
      </x:c>
      <x:c r="F202" s="52" t="n">
        <x:v>6.5</x:v>
      </x:c>
      <x:c r="G202" s="52" t="n">
        <x:v>11.9</x:v>
      </x:c>
      <x:c r="H202" s="60" t="n">
        <x:f>G202-F202</x:f>
        <x:v>5.4</x:v>
      </x:c>
      <x:c r="I202" s="50" t="str">
        <x:v>adult-famille-nombreuse-40</x:v>
      </x:c>
      <x:c r="J202" s="50" t="str">
        <x:v>meximieux-perouges|virieu-le-grand-belley</x:v>
      </x:c>
    </x:row>
    <x:row r="203">
      <x:c r="A203" s="50" t="str">
        <x:v>Meximieux – Pérouges</x:v>
      </x:c>
      <x:c r="B203" s="50" t="str">
        <x:v>Virieu-le-Grand – Belley</x:v>
      </x:c>
      <x:c r="C203" s="51" t="n">
        <x:v>53</x:v>
      </x:c>
      <x:c r="D203" s="50" t="str">
        <x:v>Adulte</x:v>
      </x:c>
      <x:c r="E203" s="50" t="str">
        <x:v>Carte Familles Nombreuses (-50 %)</x:v>
      </x:c>
      <x:c r="F203" s="52" t="n">
        <x:v>5.4</x:v>
      </x:c>
      <x:c r="G203" s="52" t="n">
        <x:v>10.8</x:v>
      </x:c>
      <x:c r="H203" s="60" t="n">
        <x:f>G203-F203</x:f>
        <x:v>5.4</x:v>
      </x:c>
      <x:c r="I203" s="50" t="str">
        <x:v>adult-famille-nombreuse-50</x:v>
      </x:c>
      <x:c r="J203" s="50" t="str">
        <x:v>meximieux-perouges|virieu-le-grand-belley</x:v>
      </x:c>
    </x:row>
    <x:row r="204">
      <x:c r="A204" s="50" t="str">
        <x:v>Meximieux – Pérouges</x:v>
      </x:c>
      <x:c r="B204" s="50" t="str">
        <x:v>Virieu-le-Grand – Belley</x:v>
      </x:c>
      <x:c r="C204" s="51" t="n">
        <x:v>53</x:v>
      </x:c>
      <x:c r="D204" s="50" t="str">
        <x:v>Adulte</x:v>
      </x:c>
      <x:c r="E204" s="50" t="str">
        <x:v>Carte Familles Nombreuses (-75 %)</x:v>
      </x:c>
      <x:c r="F204" s="52" t="n">
        <x:v>2.7</x:v>
      </x:c>
      <x:c r="G204" s="52" t="n">
        <x:v>8.1</x:v>
      </x:c>
      <x:c r="H204" s="60" t="n">
        <x:f>G204-F204</x:f>
        <x:v>5.3999999999999995</x:v>
      </x:c>
      <x:c r="I204" s="50" t="str">
        <x:v>adult-famille-nombreuse-75</x:v>
      </x:c>
      <x:c r="J204" s="50" t="str">
        <x:v>meximieux-perouges|virieu-le-grand-belley</x:v>
      </x:c>
    </x:row>
    <x:row r="205">
      <x:c r="A205" s="50" t="str">
        <x:v>Meximieux – Pérouges</x:v>
      </x:c>
      <x:c r="B205" s="50" t="str">
        <x:v>Virieu-le-Grand – Belley</x:v>
      </x:c>
      <x:c r="C205" s="51" t="n">
        <x:v>53</x:v>
      </x:c>
      <x:c r="D205" s="50" t="str">
        <x:v>Adulte</x:v>
      </x:c>
      <x:c r="E205" s="50" t="str">
        <x:v>Carte Militaire (-75 %)</x:v>
      </x:c>
      <x:c r="F205" s="52" t="n">
        <x:v>2.7</x:v>
      </x:c>
      <x:c r="G205" s="52" t="n">
        <x:v>8.1</x:v>
      </x:c>
      <x:c r="H205" s="60" t="n">
        <x:f>G205-F205</x:f>
        <x:v>5.3999999999999995</x:v>
      </x:c>
      <x:c r="I205" s="50" t="str">
        <x:v>adult-military</x:v>
      </x:c>
      <x:c r="J205" s="50" t="str">
        <x:v>meximieux-perouges|virieu-le-grand-belley</x:v>
      </x:c>
    </x:row>
    <x:row r="206">
      <x:c r="A206" s="50" t="str">
        <x:v>Meximieux – Pérouges</x:v>
      </x:c>
      <x:c r="B206" s="50" t="str">
        <x:v>Virieu-le-Grand – Belley</x:v>
      </x:c>
      <x:c r="C206" s="51" t="n">
        <x:v>53</x:v>
      </x:c>
      <x:c r="D206" s="50" t="str">
        <x:v>Adulte</x:v>
      </x:c>
      <x:c r="E206" s="50" t="str">
        <x:v>Carte Famille Militaire (-40 %)</x:v>
      </x:c>
      <x:c r="F206" s="52" t="n">
        <x:v>8</x:v>
      </x:c>
      <x:c r="G206" s="52" t="n">
        <x:v>12</x:v>
      </x:c>
      <x:c r="H206" s="60" t="n">
        <x:f>G206-F206</x:f>
        <x:v>4</x:v>
      </x:c>
      <x:c r="I206" s="50" t="str">
        <x:v>adult-family-military</x:v>
      </x:c>
      <x:c r="J206" s="50" t="str">
        <x:v>meximieux-perouges|virieu-le-grand-belley</x:v>
      </x:c>
    </x:row>
    <x:row r="207">
      <x:c r="A207" s="50" t="str">
        <x:v>Meximieux – Pérouges</x:v>
      </x:c>
      <x:c r="B207" s="50" t="str">
        <x:v>Virieu-le-Grand – Belley</x:v>
      </x:c>
      <x:c r="C207" s="51" t="n">
        <x:v>53</x:v>
      </x:c>
      <x:c r="D207" s="50" t="str">
        <x:v>Enfant 4–11 ans</x:v>
      </x:c>
      <x:c r="E207" s="50" t="str">
        <x:v>Aucune — Tarif Enfant 4–11 ans</x:v>
      </x:c>
      <x:c r="F207" s="52" t="n">
        <x:v>6.6</x:v>
      </x:c>
      <x:c r="G207" s="52" t="n">
        <x:v>10</x:v>
      </x:c>
      <x:c r="H207" s="60" t="n">
        <x:f>G207-F207</x:f>
        <x:v>3.4000000000000004</x:v>
      </x:c>
      <x:c r="I207" s="50" t="str">
        <x:v>child-none</x:v>
      </x:c>
      <x:c r="J207" s="50" t="str">
        <x:v>meximieux-perouges|virieu-le-grand-belley</x:v>
      </x:c>
    </x:row>
    <x:row r="208">
      <x:c r="A208" s="50" t="str">
        <x:v>Meximieux – Pérouges</x:v>
      </x:c>
      <x:c r="B208" s="50" t="str">
        <x:v>Virieu-le-Grand – Belley</x:v>
      </x:c>
      <x:c r="C208" s="51" t="n">
        <x:v>53</x:v>
      </x:c>
      <x:c r="D208" s="50" t="str">
        <x:v>Enfant 4–11 ans</x:v>
      </x:c>
      <x:c r="E208" s="50" t="str">
        <x:v>illico LIBERTÉ — Accompagnant, Week-end / Jour férié</x:v>
      </x:c>
      <x:c r="F208" s="52" t="n">
        <x:v>3.3</x:v>
      </x:c>
      <x:c r="G208" s="52" t="n">
        <x:v>5</x:v>
      </x:c>
      <x:c r="H208" s="60" t="n">
        <x:f>G208-F208</x:f>
        <x:v>1.7000000000000002</x:v>
      </x:c>
      <x:c r="I208" s="50" t="str">
        <x:v>child-illico-liberte-weekend-companion</x:v>
      </x:c>
      <x:c r="J208" s="50" t="str">
        <x:v>meximieux-perouges|virieu-le-grand-belley</x:v>
      </x:c>
    </x:row>
    <x:row r="209">
      <x:c r="A209" s="50" t="str">
        <x:v>Meximieux – Pérouges</x:v>
      </x:c>
      <x:c r="B209" s="50" t="str">
        <x:v>Virieu-le-Grand – Belley</x:v>
      </x:c>
      <x:c r="C209" s="51" t="n">
        <x:v>53</x:v>
      </x:c>
      <x:c r="D209" s="50" t="str">
        <x:v>Enfant 4–11 ans</x:v>
      </x:c>
      <x:c r="E209" s="50" t="str">
        <x:v>Carte Famille Militaire</x:v>
      </x:c>
      <x:c r="F209" s="52" t="n">
        <x:v>4</x:v>
      </x:c>
      <x:c r="G209" s="52" t="n">
        <x:v>6</x:v>
      </x:c>
      <x:c r="H209" s="60" t="n">
        <x:f>G209-F209</x:f>
        <x:v>2</x:v>
      </x:c>
      <x:c r="I209" s="50" t="str">
        <x:v>child-family-military</x:v>
      </x:c>
      <x:c r="J209" s="50" t="str">
        <x:v>meximieux-perouges|virieu-le-grand-belley</x:v>
      </x:c>
    </x:row>
    <x:row r="210">
      <x:c r="A210" s="50" t="str">
        <x:v>Meximieux – Pérouges</x:v>
      </x:c>
      <x:c r="B210" s="50" t="str">
        <x:v>Virieu-le-Grand – Belley</x:v>
      </x:c>
      <x:c r="C210" s="51" t="n">
        <x:v>53</x:v>
      </x:c>
      <x:c r="D210" s="50" t="str">
        <x:v>Enfant 4–11 ans</x:v>
      </x:c>
      <x:c r="E210" s="50" t="str">
        <x:v>Carte Familles Nombreuses (-30 %)</x:v>
      </x:c>
      <x:c r="F210" s="52" t="n">
        <x:v>3.8</x:v>
      </x:c>
      <x:c r="G210" s="52" t="n">
        <x:v>6.5</x:v>
      </x:c>
      <x:c r="H210" s="60" t="n">
        <x:f>G210-F210</x:f>
        <x:v>2.7</x:v>
      </x:c>
      <x:c r="I210" s="50" t="str">
        <x:v>child-famille-nombreuse-30</x:v>
      </x:c>
      <x:c r="J210" s="50" t="str">
        <x:v>meximieux-perouges|virieu-le-grand-belley</x:v>
      </x:c>
    </x:row>
    <x:row r="211">
      <x:c r="A211" s="50" t="str">
        <x:v>Meximieux – Pérouges</x:v>
      </x:c>
      <x:c r="B211" s="50" t="str">
        <x:v>Virieu-le-Grand – Belley</x:v>
      </x:c>
      <x:c r="C211" s="51" t="n">
        <x:v>53</x:v>
      </x:c>
      <x:c r="D211" s="50" t="str">
        <x:v>Enfant 4–11 ans</x:v>
      </x:c>
      <x:c r="E211" s="50" t="str">
        <x:v>Carte Familles Nombreuses (-40 %)</x:v>
      </x:c>
      <x:c r="F211" s="52" t="n">
        <x:v>3.3</x:v>
      </x:c>
      <x:c r="G211" s="52" t="n">
        <x:v>6</x:v>
      </x:c>
      <x:c r="H211" s="60" t="n">
        <x:f>G211-F211</x:f>
        <x:v>2.7</x:v>
      </x:c>
      <x:c r="I211" s="50" t="str">
        <x:v>child-famille-nombreuse-40</x:v>
      </x:c>
      <x:c r="J211" s="50" t="str">
        <x:v>meximieux-perouges|virieu-le-grand-belley</x:v>
      </x:c>
    </x:row>
    <x:row r="212">
      <x:c r="A212" s="50" t="str">
        <x:v>Meximieux – Pérouges</x:v>
      </x:c>
      <x:c r="B212" s="50" t="str">
        <x:v>Virieu-le-Grand – Belley</x:v>
      </x:c>
      <x:c r="C212" s="51" t="n">
        <x:v>53</x:v>
      </x:c>
      <x:c r="D212" s="50" t="str">
        <x:v>Enfant 4–11 ans</x:v>
      </x:c>
      <x:c r="E212" s="50" t="str">
        <x:v>Carte Familles Nombreuses (-50 %)</x:v>
      </x:c>
      <x:c r="F212" s="52" t="n">
        <x:v>2.7</x:v>
      </x:c>
      <x:c r="G212" s="52" t="n">
        <x:v>5.4</x:v>
      </x:c>
      <x:c r="H212" s="60" t="n">
        <x:f>G212-F212</x:f>
        <x:v>2.7</x:v>
      </x:c>
      <x:c r="I212" s="50" t="str">
        <x:v>child-famille-nombreuse-50</x:v>
      </x:c>
      <x:c r="J212" s="50" t="str">
        <x:v>meximieux-perouges|virieu-le-grand-belley</x:v>
      </x:c>
    </x:row>
    <x:row r="213">
      <x:c r="A213" s="50" t="str">
        <x:v>Meximieux – Pérouges</x:v>
      </x:c>
      <x:c r="B213" s="50" t="str">
        <x:v>Virieu-le-Grand – Belley</x:v>
      </x:c>
      <x:c r="C213" s="51" t="n">
        <x:v>53</x:v>
      </x:c>
      <x:c r="D213" s="50" t="str">
        <x:v>Enfant 4–11 ans</x:v>
      </x:c>
      <x:c r="E213" s="50" t="str">
        <x:v>Carte Familles Nombreuses (-75 %)</x:v>
      </x:c>
      <x:c r="F213" s="52" t="n">
        <x:v>1.4</x:v>
      </x:c>
      <x:c r="G213" s="52" t="n">
        <x:v>4.1</x:v>
      </x:c>
      <x:c r="H213" s="60" t="n">
        <x:f>G213-F213</x:f>
        <x:v>2.6999999999999997</x:v>
      </x:c>
      <x:c r="I213" s="50" t="str">
        <x:v>child-famille-nombreuse-75</x:v>
      </x:c>
      <x:c r="J213" s="50" t="str">
        <x:v>meximieux-perouges|virieu-le-grand-belley</x:v>
      </x:c>
    </x:row>
    <x:row r="214">
      <x:c r="A214" s="50" t="str">
        <x:v>Meximieux – Pérouges</x:v>
      </x:c>
      <x:c r="B214" s="50" t="str">
        <x:v>Culoz</x:v>
      </x:c>
      <x:c r="C214" s="51" t="n">
        <x:v>64</x:v>
      </x:c>
      <x:c r="D214" s="50" t="str">
        <x:v>Adulte</x:v>
      </x:c>
      <x:c r="E214" s="50" t="str">
        <x:v>Aucune — Plein tarif</x:v>
      </x:c>
      <x:c r="F214" s="52" t="n">
        <x:v>15.8</x:v>
      </x:c>
      <x:c r="G214" s="52" t="n">
        <x:v>24</x:v>
      </x:c>
      <x:c r="H214" s="60" t="n">
        <x:f>G214-F214</x:f>
        <x:v>8.2</x:v>
      </x:c>
      <x:c r="I214" s="50" t="str">
        <x:v>adult-none</x:v>
      </x:c>
      <x:c r="J214" s="50" t="str">
        <x:v>meximieux-perouges|culoz</x:v>
      </x:c>
    </x:row>
    <x:row r="215">
      <x:c r="A215" s="50" t="str">
        <x:v>Meximieux – Pérouges</x:v>
      </x:c>
      <x:c r="B215" s="50" t="str">
        <x:v>Culoz</x:v>
      </x:c>
      <x:c r="C215" s="51" t="n">
        <x:v>64</x:v>
      </x:c>
      <x:c r="D215" s="50" t="str">
        <x:v>Adulte</x:v>
      </x:c>
      <x:c r="E215" s="50" t="str">
        <x:v>illico LIBERTÉ — Semaine (-25 %)</x:v>
      </x:c>
      <x:c r="F215" s="52" t="n">
        <x:v>11.9</x:v>
      </x:c>
      <x:c r="G215" s="52" t="n">
        <x:v>18</x:v>
      </x:c>
      <x:c r="H215" s="60" t="n">
        <x:f>G215-F215</x:f>
        <x:v>6.1</x:v>
      </x:c>
      <x:c r="I215" s="50" t="str">
        <x:v>adult-illico-liberte-weekday</x:v>
      </x:c>
      <x:c r="J215" s="50" t="str">
        <x:v>meximieux-perouges|culoz</x:v>
      </x:c>
    </x:row>
    <x:row r="216">
      <x:c r="A216" s="50" t="str">
        <x:v>Meximieux – Pérouges</x:v>
      </x:c>
      <x:c r="B216" s="50" t="str">
        <x:v>Culoz</x:v>
      </x:c>
      <x:c r="C216" s="51" t="n">
        <x:v>64</x:v>
      </x:c>
      <x:c r="D216" s="50" t="str">
        <x:v>Adulte</x:v>
      </x:c>
      <x:c r="E216" s="50" t="str">
        <x:v>illico LIBERTÉ — Week-end / Jour férié (-50 %)</x:v>
      </x:c>
      <x:c r="F216" s="52" t="n">
        <x:v>7.9</x:v>
      </x:c>
      <x:c r="G216" s="52" t="n">
        <x:v>12</x:v>
      </x:c>
      <x:c r="H216" s="60" t="n">
        <x:f>G216-F216</x:f>
        <x:v>4.1</x:v>
      </x:c>
      <x:c r="I216" s="50" t="str">
        <x:v>adult-illico-liberte-weekend</x:v>
      </x:c>
      <x:c r="J216" s="50" t="str">
        <x:v>meximieux-perouges|culoz</x:v>
      </x:c>
    </x:row>
    <x:row r="217">
      <x:c r="A217" s="50" t="str">
        <x:v>Meximieux – Pérouges</x:v>
      </x:c>
      <x:c r="B217" s="50" t="str">
        <x:v>Culoz</x:v>
      </x:c>
      <x:c r="C217" s="51" t="n">
        <x:v>64</x:v>
      </x:c>
      <x:c r="D217" s="50" t="str">
        <x:v>Adulte</x:v>
      </x:c>
      <x:c r="E217" s="50" t="str">
        <x:v>illico LIBERTÉ — Accompagnant, Week-end / Jour férié (-50 %)</x:v>
      </x:c>
      <x:c r="F217" s="52" t="n">
        <x:v>7.9</x:v>
      </x:c>
      <x:c r="G217" s="52" t="n">
        <x:v>12</x:v>
      </x:c>
      <x:c r="H217" s="60" t="n">
        <x:f>G217-F217</x:f>
        <x:v>4.1</x:v>
      </x:c>
      <x:c r="I217" s="50" t="str">
        <x:v>adult-illico-liberte-weekend-companion</x:v>
      </x:c>
      <x:c r="J217" s="50" t="str">
        <x:v>meximieux-perouges|culoz</x:v>
      </x:c>
    </x:row>
    <x:row r="218">
      <x:c r="A218" s="50" t="str">
        <x:v>Meximieux – Pérouges</x:v>
      </x:c>
      <x:c r="B218" s="50" t="str">
        <x:v>Culoz</x:v>
      </x:c>
      <x:c r="C218" s="51" t="n">
        <x:v>64</x:v>
      </x:c>
      <x:c r="D218" s="50" t="str">
        <x:v>Adulte</x:v>
      </x:c>
      <x:c r="E218" s="50" t="str">
        <x:v>illico LIBERTÉ JEUNES (-50 %)</x:v>
      </x:c>
      <x:c r="F218" s="52" t="n">
        <x:v>7.9</x:v>
      </x:c>
      <x:c r="G218" s="52" t="n">
        <x:v>12</x:v>
      </x:c>
      <x:c r="H218" s="60" t="n">
        <x:f>G218-F218</x:f>
        <x:v>4.1</x:v>
      </x:c>
      <x:c r="I218" s="50" t="str">
        <x:v>adult-illico-jeunes</x:v>
      </x:c>
      <x:c r="J218" s="50" t="str">
        <x:v>meximieux-perouges|culoz</x:v>
      </x:c>
    </x:row>
    <x:row r="219">
      <x:c r="A219" s="50" t="str">
        <x:v>Meximieux – Pérouges</x:v>
      </x:c>
      <x:c r="B219" s="50" t="str">
        <x:v>Culoz</x:v>
      </x:c>
      <x:c r="C219" s="51" t="n">
        <x:v>64</x:v>
      </x:c>
      <x:c r="D219" s="50" t="str">
        <x:v>Adulte</x:v>
      </x:c>
      <x:c r="E219" s="50" t="str">
        <x:v>Carte Liberté SNCF (-25 %)</x:v>
      </x:c>
      <x:c r="F219" s="52" t="n">
        <x:v>11.9</x:v>
      </x:c>
      <x:c r="G219" s="52" t="n">
        <x:v>18</x:v>
      </x:c>
      <x:c r="H219" s="60" t="n">
        <x:f>G219-F219</x:f>
        <x:v>6.1</x:v>
      </x:c>
      <x:c r="I219" s="50" t="str">
        <x:v>adult-liberte-nationale</x:v>
      </x:c>
      <x:c r="J219" s="50" t="str">
        <x:v>meximieux-perouges|culoz</x:v>
      </x:c>
    </x:row>
    <x:row r="220">
      <x:c r="A220" s="50" t="str">
        <x:v>Meximieux – Pérouges</x:v>
      </x:c>
      <x:c r="B220" s="50" t="str">
        <x:v>Culoz</x:v>
      </x:c>
      <x:c r="C220" s="51" t="n">
        <x:v>64</x:v>
      </x:c>
      <x:c r="D220" s="50" t="str">
        <x:v>Adulte</x:v>
      </x:c>
      <x:c r="E220" s="50" t="str">
        <x:v>Carte Familles Nombreuses (-30 %)</x:v>
      </x:c>
      <x:c r="F220" s="52" t="n">
        <x:v>9</x:v>
      </x:c>
      <x:c r="G220" s="52" t="n">
        <x:v>15.3</x:v>
      </x:c>
      <x:c r="H220" s="60" t="n">
        <x:f>G220-F220</x:f>
        <x:v>6.300000000000001</x:v>
      </x:c>
      <x:c r="I220" s="50" t="str">
        <x:v>adult-famille-nombreuse-30</x:v>
      </x:c>
      <x:c r="J220" s="50" t="str">
        <x:v>meximieux-perouges|culoz</x:v>
      </x:c>
    </x:row>
    <x:row r="221">
      <x:c r="A221" s="50" t="str">
        <x:v>Meximieux – Pérouges</x:v>
      </x:c>
      <x:c r="B221" s="50" t="str">
        <x:v>Culoz</x:v>
      </x:c>
      <x:c r="C221" s="51" t="n">
        <x:v>64</x:v>
      </x:c>
      <x:c r="D221" s="50" t="str">
        <x:v>Adulte</x:v>
      </x:c>
      <x:c r="E221" s="50" t="str">
        <x:v>Carte Familles Nombreuses (-40 %)</x:v>
      </x:c>
      <x:c r="F221" s="52" t="n">
        <x:v>7.7</x:v>
      </x:c>
      <x:c r="G221" s="52" t="n">
        <x:v>14</x:v>
      </x:c>
      <x:c r="H221" s="60" t="n">
        <x:f>G221-F221</x:f>
        <x:v>6.3</x:v>
      </x:c>
      <x:c r="I221" s="50" t="str">
        <x:v>adult-famille-nombreuse-40</x:v>
      </x:c>
      <x:c r="J221" s="50" t="str">
        <x:v>meximieux-perouges|culoz</x:v>
      </x:c>
    </x:row>
    <x:row r="222">
      <x:c r="A222" s="50" t="str">
        <x:v>Meximieux – Pérouges</x:v>
      </x:c>
      <x:c r="B222" s="50" t="str">
        <x:v>Culoz</x:v>
      </x:c>
      <x:c r="C222" s="51" t="n">
        <x:v>64</x:v>
      </x:c>
      <x:c r="D222" s="50" t="str">
        <x:v>Adulte</x:v>
      </x:c>
      <x:c r="E222" s="50" t="str">
        <x:v>Carte Familles Nombreuses (-50 %)</x:v>
      </x:c>
      <x:c r="F222" s="52" t="n">
        <x:v>6.4</x:v>
      </x:c>
      <x:c r="G222" s="52" t="n">
        <x:v>12.7</x:v>
      </x:c>
      <x:c r="H222" s="60" t="n">
        <x:f>G222-F222</x:f>
        <x:v>6.299999999999999</x:v>
      </x:c>
      <x:c r="I222" s="50" t="str">
        <x:v>adult-famille-nombreuse-50</x:v>
      </x:c>
      <x:c r="J222" s="50" t="str">
        <x:v>meximieux-perouges|culoz</x:v>
      </x:c>
    </x:row>
    <x:row r="223">
      <x:c r="A223" s="50" t="str">
        <x:v>Meximieux – Pérouges</x:v>
      </x:c>
      <x:c r="B223" s="50" t="str">
        <x:v>Culoz</x:v>
      </x:c>
      <x:c r="C223" s="51" t="n">
        <x:v>64</x:v>
      </x:c>
      <x:c r="D223" s="50" t="str">
        <x:v>Adulte</x:v>
      </x:c>
      <x:c r="E223" s="50" t="str">
        <x:v>Carte Familles Nombreuses (-75 %)</x:v>
      </x:c>
      <x:c r="F223" s="52" t="n">
        <x:v>3.2</x:v>
      </x:c>
      <x:c r="G223" s="52" t="n">
        <x:v>9.5</x:v>
      </x:c>
      <x:c r="H223" s="60" t="n">
        <x:f>G223-F223</x:f>
        <x:v>6.3</x:v>
      </x:c>
      <x:c r="I223" s="50" t="str">
        <x:v>adult-famille-nombreuse-75</x:v>
      </x:c>
      <x:c r="J223" s="50" t="str">
        <x:v>meximieux-perouges|culoz</x:v>
      </x:c>
    </x:row>
    <x:row r="224">
      <x:c r="A224" s="50" t="str">
        <x:v>Meximieux – Pérouges</x:v>
      </x:c>
      <x:c r="B224" s="50" t="str">
        <x:v>Culoz</x:v>
      </x:c>
      <x:c r="C224" s="51" t="n">
        <x:v>64</x:v>
      </x:c>
      <x:c r="D224" s="50" t="str">
        <x:v>Adulte</x:v>
      </x:c>
      <x:c r="E224" s="50" t="str">
        <x:v>Carte Militaire (-75 %)</x:v>
      </x:c>
      <x:c r="F224" s="52" t="n">
        <x:v>3.2</x:v>
      </x:c>
      <x:c r="G224" s="52" t="n">
        <x:v>9.5</x:v>
      </x:c>
      <x:c r="H224" s="60" t="n">
        <x:f>G224-F224</x:f>
        <x:v>6.3</x:v>
      </x:c>
      <x:c r="I224" s="50" t="str">
        <x:v>adult-military</x:v>
      </x:c>
      <x:c r="J224" s="50" t="str">
        <x:v>meximieux-perouges|culoz</x:v>
      </x:c>
    </x:row>
    <x:row r="225">
      <x:c r="A225" s="50" t="str">
        <x:v>Meximieux – Pérouges</x:v>
      </x:c>
      <x:c r="B225" s="50" t="str">
        <x:v>Culoz</x:v>
      </x:c>
      <x:c r="C225" s="51" t="n">
        <x:v>64</x:v>
      </x:c>
      <x:c r="D225" s="50" t="str">
        <x:v>Adulte</x:v>
      </x:c>
      <x:c r="E225" s="50" t="str">
        <x:v>Carte Famille Militaire (-40 %)</x:v>
      </x:c>
      <x:c r="F225" s="52" t="n">
        <x:v>9.5</x:v>
      </x:c>
      <x:c r="G225" s="52" t="n">
        <x:v>14.4</x:v>
      </x:c>
      <x:c r="H225" s="60" t="n">
        <x:f>G225-F225</x:f>
        <x:v>4.9</x:v>
      </x:c>
      <x:c r="I225" s="50" t="str">
        <x:v>adult-family-military</x:v>
      </x:c>
      <x:c r="J225" s="50" t="str">
        <x:v>meximieux-perouges|culoz</x:v>
      </x:c>
    </x:row>
    <x:row r="226">
      <x:c r="A226" s="50" t="str">
        <x:v>Meximieux – Pérouges</x:v>
      </x:c>
      <x:c r="B226" s="50" t="str">
        <x:v>Culoz</x:v>
      </x:c>
      <x:c r="C226" s="51" t="n">
        <x:v>64</x:v>
      </x:c>
      <x:c r="D226" s="50" t="str">
        <x:v>Enfant 4–11 ans</x:v>
      </x:c>
      <x:c r="E226" s="50" t="str">
        <x:v>Aucune — Tarif Enfant 4–11 ans</x:v>
      </x:c>
      <x:c r="F226" s="52" t="n">
        <x:v>7.9</x:v>
      </x:c>
      <x:c r="G226" s="52" t="n">
        <x:v>12</x:v>
      </x:c>
      <x:c r="H226" s="60" t="n">
        <x:f>G226-F226</x:f>
        <x:v>4.1</x:v>
      </x:c>
      <x:c r="I226" s="50" t="str">
        <x:v>child-none</x:v>
      </x:c>
      <x:c r="J226" s="50" t="str">
        <x:v>meximieux-perouges|culoz</x:v>
      </x:c>
    </x:row>
    <x:row r="227">
      <x:c r="A227" s="50" t="str">
        <x:v>Meximieux – Pérouges</x:v>
      </x:c>
      <x:c r="B227" s="50" t="str">
        <x:v>Culoz</x:v>
      </x:c>
      <x:c r="C227" s="51" t="n">
        <x:v>64</x:v>
      </x:c>
      <x:c r="D227" s="50" t="str">
        <x:v>Enfant 4–11 ans</x:v>
      </x:c>
      <x:c r="E227" s="50" t="str">
        <x:v>illico LIBERTÉ — Accompagnant, Week-end / Jour férié</x:v>
      </x:c>
      <x:c r="F227" s="52" t="n">
        <x:v>4</x:v>
      </x:c>
      <x:c r="G227" s="52" t="n">
        <x:v>6</x:v>
      </x:c>
      <x:c r="H227" s="60" t="n">
        <x:f>G227-F227</x:f>
        <x:v>2</x:v>
      </x:c>
      <x:c r="I227" s="50" t="str">
        <x:v>child-illico-liberte-weekend-companion</x:v>
      </x:c>
      <x:c r="J227" s="50" t="str">
        <x:v>meximieux-perouges|culoz</x:v>
      </x:c>
    </x:row>
    <x:row r="228">
      <x:c r="A228" s="50" t="str">
        <x:v>Meximieux – Pérouges</x:v>
      </x:c>
      <x:c r="B228" s="50" t="str">
        <x:v>Culoz</x:v>
      </x:c>
      <x:c r="C228" s="51" t="n">
        <x:v>64</x:v>
      </x:c>
      <x:c r="D228" s="50" t="str">
        <x:v>Enfant 4–11 ans</x:v>
      </x:c>
      <x:c r="E228" s="50" t="str">
        <x:v>Carte Famille Militaire</x:v>
      </x:c>
      <x:c r="F228" s="52" t="n">
        <x:v>4.8</x:v>
      </x:c>
      <x:c r="G228" s="52" t="n">
        <x:v>7.2</x:v>
      </x:c>
      <x:c r="H228" s="60" t="n">
        <x:f>G228-F228</x:f>
        <x:v>2.4000000000000004</x:v>
      </x:c>
      <x:c r="I228" s="50" t="str">
        <x:v>child-family-military</x:v>
      </x:c>
      <x:c r="J228" s="50" t="str">
        <x:v>meximieux-perouges|culoz</x:v>
      </x:c>
    </x:row>
    <x:row r="229">
      <x:c r="A229" s="50" t="str">
        <x:v>Meximieux – Pérouges</x:v>
      </x:c>
      <x:c r="B229" s="50" t="str">
        <x:v>Culoz</x:v>
      </x:c>
      <x:c r="C229" s="51" t="n">
        <x:v>64</x:v>
      </x:c>
      <x:c r="D229" s="50" t="str">
        <x:v>Enfant 4–11 ans</x:v>
      </x:c>
      <x:c r="E229" s="50" t="str">
        <x:v>Carte Familles Nombreuses (-30 %)</x:v>
      </x:c>
      <x:c r="F229" s="52" t="n">
        <x:v>4.5</x:v>
      </x:c>
      <x:c r="G229" s="52" t="n">
        <x:v>7.7</x:v>
      </x:c>
      <x:c r="H229" s="60" t="n">
        <x:f>G229-F229</x:f>
        <x:v>3.2</x:v>
      </x:c>
      <x:c r="I229" s="50" t="str">
        <x:v>child-famille-nombreuse-30</x:v>
      </x:c>
      <x:c r="J229" s="50" t="str">
        <x:v>meximieux-perouges|culoz</x:v>
      </x:c>
    </x:row>
    <x:row r="230">
      <x:c r="A230" s="50" t="str">
        <x:v>Meximieux – Pérouges</x:v>
      </x:c>
      <x:c r="B230" s="50" t="str">
        <x:v>Culoz</x:v>
      </x:c>
      <x:c r="C230" s="51" t="n">
        <x:v>64</x:v>
      </x:c>
      <x:c r="D230" s="50" t="str">
        <x:v>Enfant 4–11 ans</x:v>
      </x:c>
      <x:c r="E230" s="50" t="str">
        <x:v>Carte Familles Nombreuses (-40 %)</x:v>
      </x:c>
      <x:c r="F230" s="52" t="n">
        <x:v>3.9</x:v>
      </x:c>
      <x:c r="G230" s="52" t="n">
        <x:v>7</x:v>
      </x:c>
      <x:c r="H230" s="60" t="n">
        <x:f>G230-F230</x:f>
        <x:v>3.1</x:v>
      </x:c>
      <x:c r="I230" s="50" t="str">
        <x:v>child-famille-nombreuse-40</x:v>
      </x:c>
      <x:c r="J230" s="50" t="str">
        <x:v>meximieux-perouges|culoz</x:v>
      </x:c>
    </x:row>
    <x:row r="231">
      <x:c r="A231" s="50" t="str">
        <x:v>Meximieux – Pérouges</x:v>
      </x:c>
      <x:c r="B231" s="50" t="str">
        <x:v>Culoz</x:v>
      </x:c>
      <x:c r="C231" s="51" t="n">
        <x:v>64</x:v>
      </x:c>
      <x:c r="D231" s="50" t="str">
        <x:v>Enfant 4–11 ans</x:v>
      </x:c>
      <x:c r="E231" s="50" t="str">
        <x:v>Carte Familles Nombreuses (-50 %)</x:v>
      </x:c>
      <x:c r="F231" s="52" t="n">
        <x:v>3.2</x:v>
      </x:c>
      <x:c r="G231" s="52" t="n">
        <x:v>6.4</x:v>
      </x:c>
      <x:c r="H231" s="60" t="n">
        <x:f>G231-F231</x:f>
        <x:v>3.2</x:v>
      </x:c>
      <x:c r="I231" s="50" t="str">
        <x:v>child-famille-nombreuse-50</x:v>
      </x:c>
      <x:c r="J231" s="50" t="str">
        <x:v>meximieux-perouges|culoz</x:v>
      </x:c>
    </x:row>
    <x:row r="232">
      <x:c r="A232" s="50" t="str">
        <x:v>Meximieux – Pérouges</x:v>
      </x:c>
      <x:c r="B232" s="50" t="str">
        <x:v>Culoz</x:v>
      </x:c>
      <x:c r="C232" s="51" t="n">
        <x:v>64</x:v>
      </x:c>
      <x:c r="D232" s="50" t="str">
        <x:v>Enfant 4–11 ans</x:v>
      </x:c>
      <x:c r="E232" s="50" t="str">
        <x:v>Carte Familles Nombreuses (-75 %)</x:v>
      </x:c>
      <x:c r="F232" s="52" t="n">
        <x:v>1.6</x:v>
      </x:c>
      <x:c r="G232" s="52" t="n">
        <x:v>4.8</x:v>
      </x:c>
      <x:c r="H232" s="60" t="n">
        <x:f>G232-F232</x:f>
        <x:v>3.1999999999999997</x:v>
      </x:c>
      <x:c r="I232" s="50" t="str">
        <x:v>child-famille-nombreuse-75</x:v>
      </x:c>
      <x:c r="J232" s="50" t="str">
        <x:v>meximieux-perouges|culoz</x:v>
      </x:c>
    </x:row>
    <x:row r="233">
      <x:c r="A233" s="50" t="str">
        <x:v>Meximieux – Pérouges</x:v>
      </x:c>
      <x:c r="B233" s="50" t="str">
        <x:v>Seyssel – Corbonod</x:v>
      </x:c>
      <x:c r="C233" s="51" t="n">
        <x:v>79</x:v>
      </x:c>
      <x:c r="D233" s="50" t="str">
        <x:v>Adulte</x:v>
      </x:c>
      <x:c r="E233" s="50" t="str">
        <x:v>Aucune — Plein tarif</x:v>
      </x:c>
      <x:c r="F233" s="52" t="n">
        <x:v>18.5</x:v>
      </x:c>
      <x:c r="G233" s="52" t="n">
        <x:v>28.2</x:v>
      </x:c>
      <x:c r="H233" s="60" t="n">
        <x:f>G233-F233</x:f>
        <x:v>9.7</x:v>
      </x:c>
      <x:c r="I233" s="50" t="str">
        <x:v>adult-none</x:v>
      </x:c>
      <x:c r="J233" s="50" t="str">
        <x:v>meximieux-perouges|seyssel-corbonod</x:v>
      </x:c>
    </x:row>
    <x:row r="234">
      <x:c r="A234" s="50" t="str">
        <x:v>Meximieux – Pérouges</x:v>
      </x:c>
      <x:c r="B234" s="50" t="str">
        <x:v>Seyssel – Corbonod</x:v>
      </x:c>
      <x:c r="C234" s="51" t="n">
        <x:v>79</x:v>
      </x:c>
      <x:c r="D234" s="50" t="str">
        <x:v>Adulte</x:v>
      </x:c>
      <x:c r="E234" s="50" t="str">
        <x:v>illico LIBERTÉ — Semaine (-25 %)</x:v>
      </x:c>
      <x:c r="F234" s="52" t="n">
        <x:v>13.9</x:v>
      </x:c>
      <x:c r="G234" s="52" t="n">
        <x:v>21.2</x:v>
      </x:c>
      <x:c r="H234" s="60" t="n">
        <x:f>G234-F234</x:f>
        <x:v>7.299999999999999</x:v>
      </x:c>
      <x:c r="I234" s="50" t="str">
        <x:v>adult-illico-liberte-weekday</x:v>
      </x:c>
      <x:c r="J234" s="50" t="str">
        <x:v>meximieux-perouges|seyssel-corbonod</x:v>
      </x:c>
    </x:row>
    <x:row r="235">
      <x:c r="A235" s="50" t="str">
        <x:v>Meximieux – Pérouges</x:v>
      </x:c>
      <x:c r="B235" s="50" t="str">
        <x:v>Seyssel – Corbonod</x:v>
      </x:c>
      <x:c r="C235" s="51" t="n">
        <x:v>79</x:v>
      </x:c>
      <x:c r="D235" s="50" t="str">
        <x:v>Adulte</x:v>
      </x:c>
      <x:c r="E235" s="50" t="str">
        <x:v>illico LIBERTÉ — Week-end / Jour férié (-50 %)</x:v>
      </x:c>
      <x:c r="F235" s="52" t="n">
        <x:v>9.3</x:v>
      </x:c>
      <x:c r="G235" s="52" t="n">
        <x:v>14.1</x:v>
      </x:c>
      <x:c r="H235" s="60" t="n">
        <x:f>G235-F235</x:f>
        <x:v>4.799999999999999</x:v>
      </x:c>
      <x:c r="I235" s="50" t="str">
        <x:v>adult-illico-liberte-weekend</x:v>
      </x:c>
      <x:c r="J235" s="50" t="str">
        <x:v>meximieux-perouges|seyssel-corbonod</x:v>
      </x:c>
    </x:row>
    <x:row r="236">
      <x:c r="A236" s="50" t="str">
        <x:v>Meximieux – Pérouges</x:v>
      </x:c>
      <x:c r="B236" s="50" t="str">
        <x:v>Seyssel – Corbonod</x:v>
      </x:c>
      <x:c r="C236" s="51" t="n">
        <x:v>79</x:v>
      </x:c>
      <x:c r="D236" s="50" t="str">
        <x:v>Adulte</x:v>
      </x:c>
      <x:c r="E236" s="50" t="str">
        <x:v>illico LIBERTÉ — Accompagnant, Week-end / Jour férié (-50 %)</x:v>
      </x:c>
      <x:c r="F236" s="52" t="n">
        <x:v>9.3</x:v>
      </x:c>
      <x:c r="G236" s="52" t="n">
        <x:v>14.1</x:v>
      </x:c>
      <x:c r="H236" s="60" t="n">
        <x:f>G236-F236</x:f>
        <x:v>4.799999999999999</x:v>
      </x:c>
      <x:c r="I236" s="50" t="str">
        <x:v>adult-illico-liberte-weekend-companion</x:v>
      </x:c>
      <x:c r="J236" s="50" t="str">
        <x:v>meximieux-perouges|seyssel-corbonod</x:v>
      </x:c>
    </x:row>
    <x:row r="237">
      <x:c r="A237" s="50" t="str">
        <x:v>Meximieux – Pérouges</x:v>
      </x:c>
      <x:c r="B237" s="50" t="str">
        <x:v>Seyssel – Corbonod</x:v>
      </x:c>
      <x:c r="C237" s="51" t="n">
        <x:v>79</x:v>
      </x:c>
      <x:c r="D237" s="50" t="str">
        <x:v>Adulte</x:v>
      </x:c>
      <x:c r="E237" s="50" t="str">
        <x:v>illico LIBERTÉ JEUNES (-50 %)</x:v>
      </x:c>
      <x:c r="F237" s="52" t="n">
        <x:v>9.3</x:v>
      </x:c>
      <x:c r="G237" s="52" t="n">
        <x:v>14.1</x:v>
      </x:c>
      <x:c r="H237" s="60" t="n">
        <x:f>G237-F237</x:f>
        <x:v>4.799999999999999</x:v>
      </x:c>
      <x:c r="I237" s="50" t="str">
        <x:v>adult-illico-jeunes</x:v>
      </x:c>
      <x:c r="J237" s="50" t="str">
        <x:v>meximieux-perouges|seyssel-corbonod</x:v>
      </x:c>
    </x:row>
    <x:row r="238">
      <x:c r="A238" s="50" t="str">
        <x:v>Meximieux – Pérouges</x:v>
      </x:c>
      <x:c r="B238" s="50" t="str">
        <x:v>Seyssel – Corbonod</x:v>
      </x:c>
      <x:c r="C238" s="51" t="n">
        <x:v>79</x:v>
      </x:c>
      <x:c r="D238" s="50" t="str">
        <x:v>Adulte</x:v>
      </x:c>
      <x:c r="E238" s="50" t="str">
        <x:v>Carte Liberté SNCF (-25 %)</x:v>
      </x:c>
      <x:c r="F238" s="52" t="n">
        <x:v>13.9</x:v>
      </x:c>
      <x:c r="G238" s="52" t="n">
        <x:v>21.2</x:v>
      </x:c>
      <x:c r="H238" s="60" t="n">
        <x:f>G238-F238</x:f>
        <x:v>7.299999999999999</x:v>
      </x:c>
      <x:c r="I238" s="50" t="str">
        <x:v>adult-liberte-nationale</x:v>
      </x:c>
      <x:c r="J238" s="50" t="str">
        <x:v>meximieux-perouges|seyssel-corbonod</x:v>
      </x:c>
    </x:row>
    <x:row r="239">
      <x:c r="A239" s="50" t="str">
        <x:v>Meximieux – Pérouges</x:v>
      </x:c>
      <x:c r="B239" s="50" t="str">
        <x:v>Seyssel – Corbonod</x:v>
      </x:c>
      <x:c r="C239" s="51" t="n">
        <x:v>79</x:v>
      </x:c>
      <x:c r="D239" s="50" t="str">
        <x:v>Adulte</x:v>
      </x:c>
      <x:c r="E239" s="50" t="str">
        <x:v>Carte Familles Nombreuses (-30 %)</x:v>
      </x:c>
      <x:c r="F239" s="52" t="n">
        <x:v>10.5</x:v>
      </x:c>
      <x:c r="G239" s="52" t="n">
        <x:v>18</x:v>
      </x:c>
      <x:c r="H239" s="60" t="n">
        <x:f>G239-F239</x:f>
        <x:v>7.5</x:v>
      </x:c>
      <x:c r="I239" s="50" t="str">
        <x:v>adult-famille-nombreuse-30</x:v>
      </x:c>
      <x:c r="J239" s="50" t="str">
        <x:v>meximieux-perouges|seyssel-corbonod</x:v>
      </x:c>
    </x:row>
    <x:row r="240">
      <x:c r="A240" s="50" t="str">
        <x:v>Meximieux – Pérouges</x:v>
      </x:c>
      <x:c r="B240" s="50" t="str">
        <x:v>Seyssel – Corbonod</x:v>
      </x:c>
      <x:c r="C240" s="51" t="n">
        <x:v>79</x:v>
      </x:c>
      <x:c r="D240" s="50" t="str">
        <x:v>Adulte</x:v>
      </x:c>
      <x:c r="E240" s="50" t="str">
        <x:v>Carte Familles Nombreuses (-40 %)</x:v>
      </x:c>
      <x:c r="F240" s="52" t="n">
        <x:v>9</x:v>
      </x:c>
      <x:c r="G240" s="52" t="n">
        <x:v>16.5</x:v>
      </x:c>
      <x:c r="H240" s="60" t="n">
        <x:f>G240-F240</x:f>
        <x:v>7.5</x:v>
      </x:c>
      <x:c r="I240" s="50" t="str">
        <x:v>adult-famille-nombreuse-40</x:v>
      </x:c>
      <x:c r="J240" s="50" t="str">
        <x:v>meximieux-perouges|seyssel-corbonod</x:v>
      </x:c>
    </x:row>
    <x:row r="241">
      <x:c r="A241" s="50" t="str">
        <x:v>Meximieux – Pérouges</x:v>
      </x:c>
      <x:c r="B241" s="50" t="str">
        <x:v>Seyssel – Corbonod</x:v>
      </x:c>
      <x:c r="C241" s="51" t="n">
        <x:v>79</x:v>
      </x:c>
      <x:c r="D241" s="50" t="str">
        <x:v>Adulte</x:v>
      </x:c>
      <x:c r="E241" s="50" t="str">
        <x:v>Carte Familles Nombreuses (-50 %)</x:v>
      </x:c>
      <x:c r="F241" s="52" t="n">
        <x:v>7.5</x:v>
      </x:c>
      <x:c r="G241" s="52" t="n">
        <x:v>15</x:v>
      </x:c>
      <x:c r="H241" s="60" t="n">
        <x:f>G241-F241</x:f>
        <x:v>7.5</x:v>
      </x:c>
      <x:c r="I241" s="50" t="str">
        <x:v>adult-famille-nombreuse-50</x:v>
      </x:c>
      <x:c r="J241" s="50" t="str">
        <x:v>meximieux-perouges|seyssel-corbonod</x:v>
      </x:c>
    </x:row>
    <x:row r="242">
      <x:c r="A242" s="50" t="str">
        <x:v>Meximieux – Pérouges</x:v>
      </x:c>
      <x:c r="B242" s="50" t="str">
        <x:v>Seyssel – Corbonod</x:v>
      </x:c>
      <x:c r="C242" s="51" t="n">
        <x:v>79</x:v>
      </x:c>
      <x:c r="D242" s="50" t="str">
        <x:v>Adulte</x:v>
      </x:c>
      <x:c r="E242" s="50" t="str">
        <x:v>Carte Familles Nombreuses (-75 %)</x:v>
      </x:c>
      <x:c r="F242" s="52" t="n">
        <x:v>3.8</x:v>
      </x:c>
      <x:c r="G242" s="52" t="n">
        <x:v>11.3</x:v>
      </x:c>
      <x:c r="H242" s="60" t="n">
        <x:f>G242-F242</x:f>
        <x:v>7.500000000000001</x:v>
      </x:c>
      <x:c r="I242" s="50" t="str">
        <x:v>adult-famille-nombreuse-75</x:v>
      </x:c>
      <x:c r="J242" s="50" t="str">
        <x:v>meximieux-perouges|seyssel-corbonod</x:v>
      </x:c>
    </x:row>
    <x:row r="243">
      <x:c r="A243" s="50" t="str">
        <x:v>Meximieux – Pérouges</x:v>
      </x:c>
      <x:c r="B243" s="50" t="str">
        <x:v>Seyssel – Corbonod</x:v>
      </x:c>
      <x:c r="C243" s="51" t="n">
        <x:v>79</x:v>
      </x:c>
      <x:c r="D243" s="50" t="str">
        <x:v>Adulte</x:v>
      </x:c>
      <x:c r="E243" s="50" t="str">
        <x:v>Carte Militaire (-75 %)</x:v>
      </x:c>
      <x:c r="F243" s="52" t="n">
        <x:v>3.8</x:v>
      </x:c>
      <x:c r="G243" s="52" t="n">
        <x:v>11.3</x:v>
      </x:c>
      <x:c r="H243" s="60" t="n">
        <x:f>G243-F243</x:f>
        <x:v>7.500000000000001</x:v>
      </x:c>
      <x:c r="I243" s="50" t="str">
        <x:v>adult-military</x:v>
      </x:c>
      <x:c r="J243" s="50" t="str">
        <x:v>meximieux-perouges|seyssel-corbonod</x:v>
      </x:c>
    </x:row>
    <x:row r="244">
      <x:c r="A244" s="50" t="str">
        <x:v>Meximieux – Pérouges</x:v>
      </x:c>
      <x:c r="B244" s="50" t="str">
        <x:v>Seyssel – Corbonod</x:v>
      </x:c>
      <x:c r="C244" s="51" t="n">
        <x:v>79</x:v>
      </x:c>
      <x:c r="D244" s="50" t="str">
        <x:v>Adulte</x:v>
      </x:c>
      <x:c r="E244" s="50" t="str">
        <x:v>Carte Famille Militaire (-40 %)</x:v>
      </x:c>
      <x:c r="F244" s="52" t="n">
        <x:v>11.1</x:v>
      </x:c>
      <x:c r="G244" s="52" t="n">
        <x:v>17</x:v>
      </x:c>
      <x:c r="H244" s="60" t="n">
        <x:f>G244-F244</x:f>
        <x:v>5.9</x:v>
      </x:c>
      <x:c r="I244" s="50" t="str">
        <x:v>adult-family-military</x:v>
      </x:c>
      <x:c r="J244" s="50" t="str">
        <x:v>meximieux-perouges|seyssel-corbonod</x:v>
      </x:c>
    </x:row>
    <x:row r="245">
      <x:c r="A245" s="50" t="str">
        <x:v>Meximieux – Pérouges</x:v>
      </x:c>
      <x:c r="B245" s="50" t="str">
        <x:v>Seyssel – Corbonod</x:v>
      </x:c>
      <x:c r="C245" s="51" t="n">
        <x:v>79</x:v>
      </x:c>
      <x:c r="D245" s="50" t="str">
        <x:v>Enfant 4–11 ans</x:v>
      </x:c>
      <x:c r="E245" s="50" t="str">
        <x:v>Aucune — Tarif Enfant 4–11 ans</x:v>
      </x:c>
      <x:c r="F245" s="52" t="n">
        <x:v>9.3</x:v>
      </x:c>
      <x:c r="G245" s="52" t="n">
        <x:v>14.1</x:v>
      </x:c>
      <x:c r="H245" s="60" t="n">
        <x:f>G245-F245</x:f>
        <x:v>4.799999999999999</x:v>
      </x:c>
      <x:c r="I245" s="50" t="str">
        <x:v>child-none</x:v>
      </x:c>
      <x:c r="J245" s="50" t="str">
        <x:v>meximieux-perouges|seyssel-corbonod</x:v>
      </x:c>
    </x:row>
    <x:row r="246">
      <x:c r="A246" s="50" t="str">
        <x:v>Meximieux – Pérouges</x:v>
      </x:c>
      <x:c r="B246" s="50" t="str">
        <x:v>Seyssel – Corbonod</x:v>
      </x:c>
      <x:c r="C246" s="51" t="n">
        <x:v>79</x:v>
      </x:c>
      <x:c r="D246" s="50" t="str">
        <x:v>Enfant 4–11 ans</x:v>
      </x:c>
      <x:c r="E246" s="50" t="str">
        <x:v>illico LIBERTÉ — Accompagnant, Week-end / Jour férié</x:v>
      </x:c>
      <x:c r="F246" s="52" t="n">
        <x:v>4.7</x:v>
      </x:c>
      <x:c r="G246" s="52" t="n">
        <x:v>7.1</x:v>
      </x:c>
      <x:c r="H246" s="60" t="n">
        <x:f>G246-F246</x:f>
        <x:v>2.3999999999999995</x:v>
      </x:c>
      <x:c r="I246" s="50" t="str">
        <x:v>child-illico-liberte-weekend-companion</x:v>
      </x:c>
      <x:c r="J246" s="50" t="str">
        <x:v>meximieux-perouges|seyssel-corbonod</x:v>
      </x:c>
    </x:row>
    <x:row r="247">
      <x:c r="A247" s="50" t="str">
        <x:v>Meximieux – Pérouges</x:v>
      </x:c>
      <x:c r="B247" s="50" t="str">
        <x:v>Seyssel – Corbonod</x:v>
      </x:c>
      <x:c r="C247" s="51" t="n">
        <x:v>79</x:v>
      </x:c>
      <x:c r="D247" s="50" t="str">
        <x:v>Enfant 4–11 ans</x:v>
      </x:c>
      <x:c r="E247" s="50" t="str">
        <x:v>Carte Famille Militaire</x:v>
      </x:c>
      <x:c r="F247" s="52" t="n">
        <x:v>5.6</x:v>
      </x:c>
      <x:c r="G247" s="52" t="n">
        <x:v>8.5</x:v>
      </x:c>
      <x:c r="H247" s="60" t="n">
        <x:f>G247-F247</x:f>
        <x:v>2.9000000000000004</x:v>
      </x:c>
      <x:c r="I247" s="50" t="str">
        <x:v>child-family-military</x:v>
      </x:c>
      <x:c r="J247" s="50" t="str">
        <x:v>meximieux-perouges|seyssel-corbonod</x:v>
      </x:c>
    </x:row>
    <x:row r="248">
      <x:c r="A248" s="50" t="str">
        <x:v>Meximieux – Pérouges</x:v>
      </x:c>
      <x:c r="B248" s="50" t="str">
        <x:v>Seyssel – Corbonod</x:v>
      </x:c>
      <x:c r="C248" s="51" t="n">
        <x:v>79</x:v>
      </x:c>
      <x:c r="D248" s="50" t="str">
        <x:v>Enfant 4–11 ans</x:v>
      </x:c>
      <x:c r="E248" s="50" t="str">
        <x:v>Carte Familles Nombreuses (-30 %)</x:v>
      </x:c>
      <x:c r="F248" s="52" t="n">
        <x:v>5.3</x:v>
      </x:c>
      <x:c r="G248" s="52" t="n">
        <x:v>9</x:v>
      </x:c>
      <x:c r="H248" s="60" t="n">
        <x:f>G248-F248</x:f>
        <x:v>3.7</x:v>
      </x:c>
      <x:c r="I248" s="50" t="str">
        <x:v>child-famille-nombreuse-30</x:v>
      </x:c>
      <x:c r="J248" s="50" t="str">
        <x:v>meximieux-perouges|seyssel-corbonod</x:v>
      </x:c>
    </x:row>
    <x:row r="249">
      <x:c r="A249" s="50" t="str">
        <x:v>Meximieux – Pérouges</x:v>
      </x:c>
      <x:c r="B249" s="50" t="str">
        <x:v>Seyssel – Corbonod</x:v>
      </x:c>
      <x:c r="C249" s="51" t="n">
        <x:v>79</x:v>
      </x:c>
      <x:c r="D249" s="50" t="str">
        <x:v>Enfant 4–11 ans</x:v>
      </x:c>
      <x:c r="E249" s="50" t="str">
        <x:v>Carte Familles Nombreuses (-40 %)</x:v>
      </x:c>
      <x:c r="F249" s="52" t="n">
        <x:v>4.5</x:v>
      </x:c>
      <x:c r="G249" s="52" t="n">
        <x:v>8.3</x:v>
      </x:c>
      <x:c r="H249" s="60" t="n">
        <x:f>G249-F249</x:f>
        <x:v>3.8000000000000007</x:v>
      </x:c>
      <x:c r="I249" s="50" t="str">
        <x:v>child-famille-nombreuse-40</x:v>
      </x:c>
      <x:c r="J249" s="50" t="str">
        <x:v>meximieux-perouges|seyssel-corbonod</x:v>
      </x:c>
    </x:row>
    <x:row r="250">
      <x:c r="A250" s="50" t="str">
        <x:v>Meximieux – Pérouges</x:v>
      </x:c>
      <x:c r="B250" s="50" t="str">
        <x:v>Seyssel – Corbonod</x:v>
      </x:c>
      <x:c r="C250" s="51" t="n">
        <x:v>79</x:v>
      </x:c>
      <x:c r="D250" s="50" t="str">
        <x:v>Enfant 4–11 ans</x:v>
      </x:c>
      <x:c r="E250" s="50" t="str">
        <x:v>Carte Familles Nombreuses (-50 %)</x:v>
      </x:c>
      <x:c r="F250" s="52" t="n">
        <x:v>3.8</x:v>
      </x:c>
      <x:c r="G250" s="52" t="n">
        <x:v>7.5</x:v>
      </x:c>
      <x:c r="H250" s="60" t="n">
        <x:f>G250-F250</x:f>
        <x:v>3.7</x:v>
      </x:c>
      <x:c r="I250" s="50" t="str">
        <x:v>child-famille-nombreuse-50</x:v>
      </x:c>
      <x:c r="J250" s="50" t="str">
        <x:v>meximieux-perouges|seyssel-corbonod</x:v>
      </x:c>
    </x:row>
    <x:row r="251">
      <x:c r="A251" s="50" t="str">
        <x:v>Meximieux – Pérouges</x:v>
      </x:c>
      <x:c r="B251" s="50" t="str">
        <x:v>Seyssel – Corbonod</x:v>
      </x:c>
      <x:c r="C251" s="51" t="n">
        <x:v>79</x:v>
      </x:c>
      <x:c r="D251" s="50" t="str">
        <x:v>Enfant 4–11 ans</x:v>
      </x:c>
      <x:c r="E251" s="50" t="str">
        <x:v>Carte Familles Nombreuses (-75 %)</x:v>
      </x:c>
      <x:c r="F251" s="52" t="n">
        <x:v>1.9</x:v>
      </x:c>
      <x:c r="G251" s="52" t="n">
        <x:v>5.7</x:v>
      </x:c>
      <x:c r="H251" s="60" t="n">
        <x:f>G251-F251</x:f>
        <x:v>3.8000000000000003</x:v>
      </x:c>
      <x:c r="I251" s="50" t="str">
        <x:v>child-famille-nombreuse-75</x:v>
      </x:c>
      <x:c r="J251" s="50" t="str">
        <x:v>meximieux-perouges|seyssel-corbonod</x:v>
      </x:c>
    </x:row>
    <x:row r="252">
      <x:c r="A252" s="50" t="str">
        <x:v>Meximieux – Pérouges</x:v>
      </x:c>
      <x:c r="B252" s="50" t="str">
        <x:v>Bellegarde-sur-Valserine</x:v>
      </x:c>
      <x:c r="C252" s="51" t="n">
        <x:v>98</x:v>
      </x:c>
      <x:c r="D252" s="50" t="str">
        <x:v>Adulte</x:v>
      </x:c>
      <x:c r="E252" s="50" t="str">
        <x:v>Aucune — Plein tarif</x:v>
      </x:c>
      <x:c r="F252" s="52" t="n">
        <x:v>21.9</x:v>
      </x:c>
      <x:c r="G252" s="52" t="n">
        <x:v>33.2</x:v>
      </x:c>
      <x:c r="H252" s="60" t="n">
        <x:f>G252-F252</x:f>
        <x:v>11.300000000000004</x:v>
      </x:c>
      <x:c r="I252" s="50" t="str">
        <x:v>adult-none</x:v>
      </x:c>
      <x:c r="J252" s="50" t="str">
        <x:v>meximieux-perouges|bellegarde-sur-valserine</x:v>
      </x:c>
    </x:row>
    <x:row r="253">
      <x:c r="A253" s="50" t="str">
        <x:v>Meximieux – Pérouges</x:v>
      </x:c>
      <x:c r="B253" s="50" t="str">
        <x:v>Bellegarde-sur-Valserine</x:v>
      </x:c>
      <x:c r="C253" s="51" t="n">
        <x:v>98</x:v>
      </x:c>
      <x:c r="D253" s="50" t="str">
        <x:v>Adulte</x:v>
      </x:c>
      <x:c r="E253" s="50" t="str">
        <x:v>illico LIBERTÉ — Semaine (-25 %)</x:v>
      </x:c>
      <x:c r="F253" s="52" t="n">
        <x:v>16.5</x:v>
      </x:c>
      <x:c r="G253" s="52" t="n">
        <x:v>24.9</x:v>
      </x:c>
      <x:c r="H253" s="60" t="n">
        <x:f>G253-F253</x:f>
        <x:v>8.399999999999999</x:v>
      </x:c>
      <x:c r="I253" s="50" t="str">
        <x:v>adult-illico-liberte-weekday</x:v>
      </x:c>
      <x:c r="J253" s="50" t="str">
        <x:v>meximieux-perouges|bellegarde-sur-valserine</x:v>
      </x:c>
    </x:row>
    <x:row r="254">
      <x:c r="A254" s="50" t="str">
        <x:v>Meximieux – Pérouges</x:v>
      </x:c>
      <x:c r="B254" s="50" t="str">
        <x:v>Bellegarde-sur-Valserine</x:v>
      </x:c>
      <x:c r="C254" s="51" t="n">
        <x:v>98</x:v>
      </x:c>
      <x:c r="D254" s="50" t="str">
        <x:v>Adulte</x:v>
      </x:c>
      <x:c r="E254" s="50" t="str">
        <x:v>illico LIBERTÉ — Week-end / Jour férié (-50 %)</x:v>
      </x:c>
      <x:c r="F254" s="52" t="n">
        <x:v>11</x:v>
      </x:c>
      <x:c r="G254" s="52" t="n">
        <x:v>16.6</x:v>
      </x:c>
      <x:c r="H254" s="60" t="n">
        <x:f>G254-F254</x:f>
        <x:v>5.600000000000001</x:v>
      </x:c>
      <x:c r="I254" s="50" t="str">
        <x:v>adult-illico-liberte-weekend</x:v>
      </x:c>
      <x:c r="J254" s="50" t="str">
        <x:v>meximieux-perouges|bellegarde-sur-valserine</x:v>
      </x:c>
    </x:row>
    <x:row r="255">
      <x:c r="A255" s="50" t="str">
        <x:v>Meximieux – Pérouges</x:v>
      </x:c>
      <x:c r="B255" s="50" t="str">
        <x:v>Bellegarde-sur-Valserine</x:v>
      </x:c>
      <x:c r="C255" s="51" t="n">
        <x:v>98</x:v>
      </x:c>
      <x:c r="D255" s="50" t="str">
        <x:v>Adulte</x:v>
      </x:c>
      <x:c r="E255" s="50" t="str">
        <x:v>illico LIBERTÉ — Accompagnant, Week-end / Jour férié (-50 %)</x:v>
      </x:c>
      <x:c r="F255" s="52" t="n">
        <x:v>11</x:v>
      </x:c>
      <x:c r="G255" s="52" t="n">
        <x:v>16.6</x:v>
      </x:c>
      <x:c r="H255" s="60" t="n">
        <x:f>G255-F255</x:f>
        <x:v>5.600000000000001</x:v>
      </x:c>
      <x:c r="I255" s="50" t="str">
        <x:v>adult-illico-liberte-weekend-companion</x:v>
      </x:c>
      <x:c r="J255" s="50" t="str">
        <x:v>meximieux-perouges|bellegarde-sur-valserine</x:v>
      </x:c>
    </x:row>
    <x:row r="256">
      <x:c r="A256" s="50" t="str">
        <x:v>Meximieux – Pérouges</x:v>
      </x:c>
      <x:c r="B256" s="50" t="str">
        <x:v>Bellegarde-sur-Valserine</x:v>
      </x:c>
      <x:c r="C256" s="51" t="n">
        <x:v>98</x:v>
      </x:c>
      <x:c r="D256" s="50" t="str">
        <x:v>Adulte</x:v>
      </x:c>
      <x:c r="E256" s="50" t="str">
        <x:v>illico LIBERTÉ JEUNES (-50 %)</x:v>
      </x:c>
      <x:c r="F256" s="52" t="n">
        <x:v>11</x:v>
      </x:c>
      <x:c r="G256" s="52" t="n">
        <x:v>16.6</x:v>
      </x:c>
      <x:c r="H256" s="60" t="n">
        <x:f>G256-F256</x:f>
        <x:v>5.600000000000001</x:v>
      </x:c>
      <x:c r="I256" s="50" t="str">
        <x:v>adult-illico-jeunes</x:v>
      </x:c>
      <x:c r="J256" s="50" t="str">
        <x:v>meximieux-perouges|bellegarde-sur-valserine</x:v>
      </x:c>
    </x:row>
    <x:row r="257">
      <x:c r="A257" s="50" t="str">
        <x:v>Meximieux – Pérouges</x:v>
      </x:c>
      <x:c r="B257" s="50" t="str">
        <x:v>Bellegarde-sur-Valserine</x:v>
      </x:c>
      <x:c r="C257" s="51" t="n">
        <x:v>98</x:v>
      </x:c>
      <x:c r="D257" s="50" t="str">
        <x:v>Adulte</x:v>
      </x:c>
      <x:c r="E257" s="50" t="str">
        <x:v>Carte Liberté SNCF (-25 %)</x:v>
      </x:c>
      <x:c r="F257" s="52" t="n">
        <x:v>16.5</x:v>
      </x:c>
      <x:c r="G257" s="52" t="n">
        <x:v>24.9</x:v>
      </x:c>
      <x:c r="H257" s="60" t="n">
        <x:f>G257-F257</x:f>
        <x:v>8.399999999999999</x:v>
      </x:c>
      <x:c r="I257" s="50" t="str">
        <x:v>adult-liberte-nationale</x:v>
      </x:c>
      <x:c r="J257" s="50" t="str">
        <x:v>meximieux-perouges|bellegarde-sur-valserine</x:v>
      </x:c>
    </x:row>
    <x:row r="258">
      <x:c r="A258" s="50" t="str">
        <x:v>Meximieux – Pérouges</x:v>
      </x:c>
      <x:c r="B258" s="50" t="str">
        <x:v>Bellegarde-sur-Valserine</x:v>
      </x:c>
      <x:c r="C258" s="51" t="n">
        <x:v>98</x:v>
      </x:c>
      <x:c r="D258" s="50" t="str">
        <x:v>Adulte</x:v>
      </x:c>
      <x:c r="E258" s="50" t="str">
        <x:v>Carte Familles Nombreuses (-30 %)</x:v>
      </x:c>
      <x:c r="F258" s="52" t="n">
        <x:v>12.4</x:v>
      </x:c>
      <x:c r="G258" s="52" t="n">
        <x:v>21.2</x:v>
      </x:c>
      <x:c r="H258" s="60" t="n">
        <x:f>G258-F258</x:f>
        <x:v>8.799999999999999</x:v>
      </x:c>
      <x:c r="I258" s="50" t="str">
        <x:v>adult-famille-nombreuse-30</x:v>
      </x:c>
      <x:c r="J258" s="50" t="str">
        <x:v>meximieux-perouges|bellegarde-sur-valserine</x:v>
      </x:c>
    </x:row>
    <x:row r="259">
      <x:c r="A259" s="50" t="str">
        <x:v>Meximieux – Pérouges</x:v>
      </x:c>
      <x:c r="B259" s="50" t="str">
        <x:v>Bellegarde-sur-Valserine</x:v>
      </x:c>
      <x:c r="C259" s="51" t="n">
        <x:v>98</x:v>
      </x:c>
      <x:c r="D259" s="50" t="str">
        <x:v>Adulte</x:v>
      </x:c>
      <x:c r="E259" s="50" t="str">
        <x:v>Carte Familles Nombreuses (-40 %)</x:v>
      </x:c>
      <x:c r="F259" s="52" t="n">
        <x:v>10.7</x:v>
      </x:c>
      <x:c r="G259" s="52" t="n">
        <x:v>19.5</x:v>
      </x:c>
      <x:c r="H259" s="60" t="n">
        <x:f>G259-F259</x:f>
        <x:v>8.8</x:v>
      </x:c>
      <x:c r="I259" s="50" t="str">
        <x:v>adult-famille-nombreuse-40</x:v>
      </x:c>
      <x:c r="J259" s="50" t="str">
        <x:v>meximieux-perouges|bellegarde-sur-valserine</x:v>
      </x:c>
    </x:row>
    <x:row r="260">
      <x:c r="A260" s="50" t="str">
        <x:v>Meximieux – Pérouges</x:v>
      </x:c>
      <x:c r="B260" s="50" t="str">
        <x:v>Bellegarde-sur-Valserine</x:v>
      </x:c>
      <x:c r="C260" s="51" t="n">
        <x:v>98</x:v>
      </x:c>
      <x:c r="D260" s="50" t="str">
        <x:v>Adulte</x:v>
      </x:c>
      <x:c r="E260" s="50" t="str">
        <x:v>Carte Familles Nombreuses (-50 %)</x:v>
      </x:c>
      <x:c r="F260" s="52" t="n">
        <x:v>8.9</x:v>
      </x:c>
      <x:c r="G260" s="52" t="n">
        <x:v>17.7</x:v>
      </x:c>
      <x:c r="H260" s="60" t="n">
        <x:f>G260-F260</x:f>
        <x:v>8.799999999999999</x:v>
      </x:c>
      <x:c r="I260" s="50" t="str">
        <x:v>adult-famille-nombreuse-50</x:v>
      </x:c>
      <x:c r="J260" s="50" t="str">
        <x:v>meximieux-perouges|bellegarde-sur-valserine</x:v>
      </x:c>
    </x:row>
    <x:row r="261">
      <x:c r="A261" s="50" t="str">
        <x:v>Meximieux – Pérouges</x:v>
      </x:c>
      <x:c r="B261" s="50" t="str">
        <x:v>Bellegarde-sur-Valserine</x:v>
      </x:c>
      <x:c r="C261" s="51" t="n">
        <x:v>98</x:v>
      </x:c>
      <x:c r="D261" s="50" t="str">
        <x:v>Adulte</x:v>
      </x:c>
      <x:c r="E261" s="50" t="str">
        <x:v>Carte Familles Nombreuses (-75 %)</x:v>
      </x:c>
      <x:c r="F261" s="52" t="n">
        <x:v>4.5</x:v>
      </x:c>
      <x:c r="G261" s="52" t="n">
        <x:v>13.3</x:v>
      </x:c>
      <x:c r="H261" s="60" t="n">
        <x:f>G261-F261</x:f>
        <x:v>8.8</x:v>
      </x:c>
      <x:c r="I261" s="50" t="str">
        <x:v>adult-famille-nombreuse-75</x:v>
      </x:c>
      <x:c r="J261" s="50" t="str">
        <x:v>meximieux-perouges|bellegarde-sur-valserine</x:v>
      </x:c>
    </x:row>
    <x:row r="262">
      <x:c r="A262" s="50" t="str">
        <x:v>Meximieux – Pérouges</x:v>
      </x:c>
      <x:c r="B262" s="50" t="str">
        <x:v>Bellegarde-sur-Valserine</x:v>
      </x:c>
      <x:c r="C262" s="51" t="n">
        <x:v>98</x:v>
      </x:c>
      <x:c r="D262" s="50" t="str">
        <x:v>Adulte</x:v>
      </x:c>
      <x:c r="E262" s="50" t="str">
        <x:v>Carte Militaire (-75 %)</x:v>
      </x:c>
      <x:c r="F262" s="52" t="n">
        <x:v>4.5</x:v>
      </x:c>
      <x:c r="G262" s="52" t="n">
        <x:v>13.3</x:v>
      </x:c>
      <x:c r="H262" s="60" t="n">
        <x:f>G262-F262</x:f>
        <x:v>8.8</x:v>
      </x:c>
      <x:c r="I262" s="50" t="str">
        <x:v>adult-military</x:v>
      </x:c>
      <x:c r="J262" s="50" t="str">
        <x:v>meximieux-perouges|bellegarde-sur-valserine</x:v>
      </x:c>
    </x:row>
    <x:row r="263">
      <x:c r="A263" s="50" t="str">
        <x:v>Meximieux – Pérouges</x:v>
      </x:c>
      <x:c r="B263" s="50" t="str">
        <x:v>Bellegarde-sur-Valserine</x:v>
      </x:c>
      <x:c r="C263" s="51" t="n">
        <x:v>98</x:v>
      </x:c>
      <x:c r="D263" s="50" t="str">
        <x:v>Adulte</x:v>
      </x:c>
      <x:c r="E263" s="50" t="str">
        <x:v>Carte Famille Militaire (-40 %)</x:v>
      </x:c>
      <x:c r="F263" s="52" t="n">
        <x:v>13.2</x:v>
      </x:c>
      <x:c r="G263" s="52" t="n">
        <x:v>20</x:v>
      </x:c>
      <x:c r="H263" s="60" t="n">
        <x:f>G263-F263</x:f>
        <x:v>6.800000000000001</x:v>
      </x:c>
      <x:c r="I263" s="50" t="str">
        <x:v>adult-family-military</x:v>
      </x:c>
      <x:c r="J263" s="50" t="str">
        <x:v>meximieux-perouges|bellegarde-sur-valserine</x:v>
      </x:c>
    </x:row>
    <x:row r="264">
      <x:c r="A264" s="50" t="str">
        <x:v>Meximieux – Pérouges</x:v>
      </x:c>
      <x:c r="B264" s="50" t="str">
        <x:v>Bellegarde-sur-Valserine</x:v>
      </x:c>
      <x:c r="C264" s="51" t="n">
        <x:v>98</x:v>
      </x:c>
      <x:c r="D264" s="50" t="str">
        <x:v>Enfant 4–11 ans</x:v>
      </x:c>
      <x:c r="E264" s="50" t="str">
        <x:v>Aucune — Tarif Enfant 4–11 ans</x:v>
      </x:c>
      <x:c r="F264" s="52" t="n">
        <x:v>11</x:v>
      </x:c>
      <x:c r="G264" s="52" t="n">
        <x:v>16.6</x:v>
      </x:c>
      <x:c r="H264" s="60" t="n">
        <x:f>G264-F264</x:f>
        <x:v>5.600000000000001</x:v>
      </x:c>
      <x:c r="I264" s="50" t="str">
        <x:v>child-none</x:v>
      </x:c>
      <x:c r="J264" s="50" t="str">
        <x:v>meximieux-perouges|bellegarde-sur-valserine</x:v>
      </x:c>
    </x:row>
    <x:row r="265">
      <x:c r="A265" s="50" t="str">
        <x:v>Meximieux – Pérouges</x:v>
      </x:c>
      <x:c r="B265" s="50" t="str">
        <x:v>Bellegarde-sur-Valserine</x:v>
      </x:c>
      <x:c r="C265" s="51" t="n">
        <x:v>98</x:v>
      </x:c>
      <x:c r="D265" s="50" t="str">
        <x:v>Enfant 4–11 ans</x:v>
      </x:c>
      <x:c r="E265" s="50" t="str">
        <x:v>illico LIBERTÉ — Accompagnant, Week-end / Jour férié</x:v>
      </x:c>
      <x:c r="F265" s="52" t="n">
        <x:v>5.5</x:v>
      </x:c>
      <x:c r="G265" s="52" t="n">
        <x:v>8.3</x:v>
      </x:c>
      <x:c r="H265" s="60" t="n">
        <x:f>G265-F265</x:f>
        <x:v>2.8000000000000007</x:v>
      </x:c>
      <x:c r="I265" s="50" t="str">
        <x:v>child-illico-liberte-weekend-companion</x:v>
      </x:c>
      <x:c r="J265" s="50" t="str">
        <x:v>meximieux-perouges|bellegarde-sur-valserine</x:v>
      </x:c>
    </x:row>
    <x:row r="266">
      <x:c r="A266" s="50" t="str">
        <x:v>Meximieux – Pérouges</x:v>
      </x:c>
      <x:c r="B266" s="50" t="str">
        <x:v>Bellegarde-sur-Valserine</x:v>
      </x:c>
      <x:c r="C266" s="51" t="n">
        <x:v>98</x:v>
      </x:c>
      <x:c r="D266" s="50" t="str">
        <x:v>Enfant 4–11 ans</x:v>
      </x:c>
      <x:c r="E266" s="50" t="str">
        <x:v>Carte Famille Militaire</x:v>
      </x:c>
      <x:c r="F266" s="52" t="n">
        <x:v>6.6</x:v>
      </x:c>
      <x:c r="G266" s="52" t="n">
        <x:v>10</x:v>
      </x:c>
      <x:c r="H266" s="60" t="n">
        <x:f>G266-F266</x:f>
        <x:v>3.4000000000000004</x:v>
      </x:c>
      <x:c r="I266" s="50" t="str">
        <x:v>child-family-military</x:v>
      </x:c>
      <x:c r="J266" s="50" t="str">
        <x:v>meximieux-perouges|bellegarde-sur-valserine</x:v>
      </x:c>
    </x:row>
    <x:row r="267">
      <x:c r="A267" s="50" t="str">
        <x:v>Meximieux – Pérouges</x:v>
      </x:c>
      <x:c r="B267" s="50" t="str">
        <x:v>Bellegarde-sur-Valserine</x:v>
      </x:c>
      <x:c r="C267" s="51" t="n">
        <x:v>98</x:v>
      </x:c>
      <x:c r="D267" s="50" t="str">
        <x:v>Enfant 4–11 ans</x:v>
      </x:c>
      <x:c r="E267" s="50" t="str">
        <x:v>Carte Familles Nombreuses (-30 %)</x:v>
      </x:c>
      <x:c r="F267" s="52" t="n">
        <x:v>6.2</x:v>
      </x:c>
      <x:c r="G267" s="52" t="n">
        <x:v>10.6</x:v>
      </x:c>
      <x:c r="H267" s="60" t="n">
        <x:f>G267-F267</x:f>
        <x:v>4.3999999999999995</x:v>
      </x:c>
      <x:c r="I267" s="50" t="str">
        <x:v>child-famille-nombreuse-30</x:v>
      </x:c>
      <x:c r="J267" s="50" t="str">
        <x:v>meximieux-perouges|bellegarde-sur-valserine</x:v>
      </x:c>
    </x:row>
    <x:row r="268">
      <x:c r="A268" s="50" t="str">
        <x:v>Meximieux – Pérouges</x:v>
      </x:c>
      <x:c r="B268" s="50" t="str">
        <x:v>Bellegarde-sur-Valserine</x:v>
      </x:c>
      <x:c r="C268" s="51" t="n">
        <x:v>98</x:v>
      </x:c>
      <x:c r="D268" s="50" t="str">
        <x:v>Enfant 4–11 ans</x:v>
      </x:c>
      <x:c r="E268" s="50" t="str">
        <x:v>Carte Familles Nombreuses (-40 %)</x:v>
      </x:c>
      <x:c r="F268" s="52" t="n">
        <x:v>5.4</x:v>
      </x:c>
      <x:c r="G268" s="52" t="n">
        <x:v>9.8</x:v>
      </x:c>
      <x:c r="H268" s="60" t="n">
        <x:f>G268-F268</x:f>
        <x:v>4.4</x:v>
      </x:c>
      <x:c r="I268" s="50" t="str">
        <x:v>child-famille-nombreuse-40</x:v>
      </x:c>
      <x:c r="J268" s="50" t="str">
        <x:v>meximieux-perouges|bellegarde-sur-valserine</x:v>
      </x:c>
    </x:row>
    <x:row r="269">
      <x:c r="A269" s="50" t="str">
        <x:v>Meximieux – Pérouges</x:v>
      </x:c>
      <x:c r="B269" s="50" t="str">
        <x:v>Bellegarde-sur-Valserine</x:v>
      </x:c>
      <x:c r="C269" s="51" t="n">
        <x:v>98</x:v>
      </x:c>
      <x:c r="D269" s="50" t="str">
        <x:v>Enfant 4–11 ans</x:v>
      </x:c>
      <x:c r="E269" s="50" t="str">
        <x:v>Carte Familles Nombreuses (-50 %)</x:v>
      </x:c>
      <x:c r="F269" s="52" t="n">
        <x:v>4.5</x:v>
      </x:c>
      <x:c r="G269" s="52" t="n">
        <x:v>8.9</x:v>
      </x:c>
      <x:c r="H269" s="60" t="n">
        <x:f>G269-F269</x:f>
        <x:v>4.4</x:v>
      </x:c>
      <x:c r="I269" s="50" t="str">
        <x:v>child-famille-nombreuse-50</x:v>
      </x:c>
      <x:c r="J269" s="50" t="str">
        <x:v>meximieux-perouges|bellegarde-sur-valserine</x:v>
      </x:c>
    </x:row>
    <x:row r="270">
      <x:c r="A270" s="50" t="str">
        <x:v>Meximieux – Pérouges</x:v>
      </x:c>
      <x:c r="B270" s="50" t="str">
        <x:v>Bellegarde-sur-Valserine</x:v>
      </x:c>
      <x:c r="C270" s="51" t="n">
        <x:v>98</x:v>
      </x:c>
      <x:c r="D270" s="50" t="str">
        <x:v>Enfant 4–11 ans</x:v>
      </x:c>
      <x:c r="E270" s="50" t="str">
        <x:v>Carte Familles Nombreuses (-75 %)</x:v>
      </x:c>
      <x:c r="F270" s="52" t="n">
        <x:v>2.3</x:v>
      </x:c>
      <x:c r="G270" s="52" t="n">
        <x:v>6.7</x:v>
      </x:c>
      <x:c r="H270" s="60" t="n">
        <x:f>G270-F270</x:f>
        <x:v>4.4</x:v>
      </x:c>
      <x:c r="I270" s="50" t="str">
        <x:v>child-famille-nombreuse-75</x:v>
      </x:c>
      <x:c r="J270" s="50" t="str">
        <x:v>meximieux-perouges|bellegarde-sur-valserine</x:v>
      </x:c>
    </x:row>
    <x:row r="271">
      <x:c r="A271" s="50" t="str">
        <x:v>Meximieux – Pérouges</x:v>
      </x:c>
      <x:c r="B271" s="50" t="str">
        <x:v>Genève</x:v>
      </x:c>
      <x:c r="C271" s="51" t="n">
        <x:v>140</x:v>
      </x:c>
      <x:c r="D271" s="50" t="str">
        <x:v>Adulte</x:v>
      </x:c>
      <x:c r="E271" s="50" t="str">
        <x:v>Aucune — Plein tarif</x:v>
      </x:c>
      <x:c r="F271" s="52" t="n">
        <x:v>28.4</x:v>
      </x:c>
      <x:c r="G271" s="52" t="n">
        <x:v>43.2</x:v>
      </x:c>
      <x:c r="H271" s="60" t="n">
        <x:f>G271-F271</x:f>
        <x:v>14.800000000000004</x:v>
      </x:c>
      <x:c r="I271" s="50" t="str">
        <x:v>adult-none</x:v>
      </x:c>
      <x:c r="J271" s="50" t="str">
        <x:v>meximieux-perouges|geneve</x:v>
      </x:c>
    </x:row>
    <x:row r="272">
      <x:c r="A272" s="50" t="str">
        <x:v>Meximieux – Pérouges</x:v>
      </x:c>
      <x:c r="B272" s="50" t="str">
        <x:v>Genève</x:v>
      </x:c>
      <x:c r="C272" s="51" t="n">
        <x:v>140</x:v>
      </x:c>
      <x:c r="D272" s="50" t="str">
        <x:v>Adulte</x:v>
      </x:c>
      <x:c r="E272" s="50" t="str">
        <x:v>illico LIBERTÉ — Semaine (-25 %)</x:v>
      </x:c>
      <x:c r="F272" s="52" t="n">
        <x:v>21.3</x:v>
      </x:c>
      <x:c r="G272" s="52" t="n">
        <x:v>32.4</x:v>
      </x:c>
      <x:c r="H272" s="60" t="n">
        <x:f>G272-F272</x:f>
        <x:v>11.099999999999998</x:v>
      </x:c>
      <x:c r="I272" s="50" t="str">
        <x:v>adult-illico-liberte-weekday</x:v>
      </x:c>
      <x:c r="J272" s="50" t="str">
        <x:v>meximieux-perouges|geneve</x:v>
      </x:c>
    </x:row>
    <x:row r="273">
      <x:c r="A273" s="50" t="str">
        <x:v>Meximieux – Pérouges</x:v>
      </x:c>
      <x:c r="B273" s="50" t="str">
        <x:v>Genève</x:v>
      </x:c>
      <x:c r="C273" s="51" t="n">
        <x:v>140</x:v>
      </x:c>
      <x:c r="D273" s="50" t="str">
        <x:v>Adulte</x:v>
      </x:c>
      <x:c r="E273" s="50" t="str">
        <x:v>illico LIBERTÉ — Week-end / Jour férié (-50 %)</x:v>
      </x:c>
      <x:c r="F273" s="52" t="n">
        <x:v>14.2</x:v>
      </x:c>
      <x:c r="G273" s="52" t="n">
        <x:v>21.6</x:v>
      </x:c>
      <x:c r="H273" s="60" t="n">
        <x:f>G273-F273</x:f>
        <x:v>7.400000000000002</x:v>
      </x:c>
      <x:c r="I273" s="50" t="str">
        <x:v>adult-illico-liberte-weekend</x:v>
      </x:c>
      <x:c r="J273" s="50" t="str">
        <x:v>meximieux-perouges|geneve</x:v>
      </x:c>
    </x:row>
    <x:row r="274">
      <x:c r="A274" s="50" t="str">
        <x:v>Meximieux – Pérouges</x:v>
      </x:c>
      <x:c r="B274" s="50" t="str">
        <x:v>Genève</x:v>
      </x:c>
      <x:c r="C274" s="51" t="n">
        <x:v>140</x:v>
      </x:c>
      <x:c r="D274" s="50" t="str">
        <x:v>Adulte</x:v>
      </x:c>
      <x:c r="E274" s="50" t="str">
        <x:v>illico LIBERTÉ — Accompagnant, Week-end / Jour férié (-50 %)</x:v>
      </x:c>
      <x:c r="F274" s="52" t="n">
        <x:v>14.2</x:v>
      </x:c>
      <x:c r="G274" s="52" t="n">
        <x:v>21.6</x:v>
      </x:c>
      <x:c r="H274" s="60" t="n">
        <x:f>G274-F274</x:f>
        <x:v>7.400000000000002</x:v>
      </x:c>
      <x:c r="I274" s="50" t="str">
        <x:v>adult-illico-liberte-weekend-companion</x:v>
      </x:c>
      <x:c r="J274" s="50" t="str">
        <x:v>meximieux-perouges|geneve</x:v>
      </x:c>
    </x:row>
    <x:row r="275">
      <x:c r="A275" s="50" t="str">
        <x:v>Meximieux – Pérouges</x:v>
      </x:c>
      <x:c r="B275" s="50" t="str">
        <x:v>Genève</x:v>
      </x:c>
      <x:c r="C275" s="51" t="n">
        <x:v>140</x:v>
      </x:c>
      <x:c r="D275" s="50" t="str">
        <x:v>Adulte</x:v>
      </x:c>
      <x:c r="E275" s="50" t="str">
        <x:v>illico LIBERTÉ JEUNES (-50 %)</x:v>
      </x:c>
      <x:c r="F275" s="52" t="n">
        <x:v>14.2</x:v>
      </x:c>
      <x:c r="G275" s="52" t="n">
        <x:v>21.6</x:v>
      </x:c>
      <x:c r="H275" s="60" t="n">
        <x:f>G275-F275</x:f>
        <x:v>7.400000000000002</x:v>
      </x:c>
      <x:c r="I275" s="50" t="str">
        <x:v>adult-illico-jeunes</x:v>
      </x:c>
      <x:c r="J275" s="50" t="str">
        <x:v>meximieux-perouges|geneve</x:v>
      </x:c>
    </x:row>
    <x:row r="276">
      <x:c r="A276" s="50" t="str">
        <x:v>Meximieux – Pérouges</x:v>
      </x:c>
      <x:c r="B276" s="50" t="str">
        <x:v>Genève</x:v>
      </x:c>
      <x:c r="C276" s="51" t="n">
        <x:v>140</x:v>
      </x:c>
      <x:c r="D276" s="50" t="str">
        <x:v>Adulte</x:v>
      </x:c>
      <x:c r="E276" s="50" t="str">
        <x:v>Carte Liberté SNCF (-25 %)</x:v>
      </x:c>
      <x:c r="F276" s="52" t="n">
        <x:v>21.3</x:v>
      </x:c>
      <x:c r="G276" s="52" t="n">
        <x:v>32.4</x:v>
      </x:c>
      <x:c r="H276" s="60" t="n">
        <x:f>G276-F276</x:f>
        <x:v>11.099999999999998</x:v>
      </x:c>
      <x:c r="I276" s="50" t="str">
        <x:v>adult-liberte-nationale</x:v>
      </x:c>
      <x:c r="J276" s="50" t="str">
        <x:v>meximieux-perouges|geneve</x:v>
      </x:c>
    </x:row>
    <x:row r="277">
      <x:c r="A277" s="50" t="str">
        <x:v>Meximieux – Pérouges</x:v>
      </x:c>
      <x:c r="B277" s="50" t="str">
        <x:v>Genève</x:v>
      </x:c>
      <x:c r="C277" s="51" t="n">
        <x:v>140</x:v>
      </x:c>
      <x:c r="D277" s="50" t="str">
        <x:v>Adulte</x:v>
      </x:c>
      <x:c r="E277" s="50" t="str">
        <x:v>Carte Familles Nombreuses (-30 %)</x:v>
      </x:c>
      <x:c r="F277" s="52" t="n">
        <x:v>16.1</x:v>
      </x:c>
      <x:c r="G277" s="52" t="n">
        <x:v>27.6</x:v>
      </x:c>
      <x:c r="H277" s="60" t="n">
        <x:f>G277-F277</x:f>
        <x:v>11.5</x:v>
      </x:c>
      <x:c r="I277" s="50" t="str">
        <x:v>adult-famille-nombreuse-30</x:v>
      </x:c>
      <x:c r="J277" s="50" t="str">
        <x:v>meximieux-perouges|geneve</x:v>
      </x:c>
    </x:row>
    <x:row r="278">
      <x:c r="A278" s="50" t="str">
        <x:v>Meximieux – Pérouges</x:v>
      </x:c>
      <x:c r="B278" s="50" t="str">
        <x:v>Genève</x:v>
      </x:c>
      <x:c r="C278" s="51" t="n">
        <x:v>140</x:v>
      </x:c>
      <x:c r="D278" s="50" t="str">
        <x:v>Adulte</x:v>
      </x:c>
      <x:c r="E278" s="50" t="str">
        <x:v>Carte Familles Nombreuses (-40 %)</x:v>
      </x:c>
      <x:c r="F278" s="52" t="n">
        <x:v>13.8</x:v>
      </x:c>
      <x:c r="G278" s="52" t="n">
        <x:v>25.3</x:v>
      </x:c>
      <x:c r="H278" s="60" t="n">
        <x:f>G278-F278</x:f>
        <x:v>11.5</x:v>
      </x:c>
      <x:c r="I278" s="50" t="str">
        <x:v>adult-famille-nombreuse-40</x:v>
      </x:c>
      <x:c r="J278" s="50" t="str">
        <x:v>meximieux-perouges|geneve</x:v>
      </x:c>
    </x:row>
    <x:row r="279">
      <x:c r="A279" s="50" t="str">
        <x:v>Meximieux – Pérouges</x:v>
      </x:c>
      <x:c r="B279" s="50" t="str">
        <x:v>Genève</x:v>
      </x:c>
      <x:c r="C279" s="51" t="n">
        <x:v>140</x:v>
      </x:c>
      <x:c r="D279" s="50" t="str">
        <x:v>Adulte</x:v>
      </x:c>
      <x:c r="E279" s="50" t="str">
        <x:v>Carte Familles Nombreuses (-50 %)</x:v>
      </x:c>
      <x:c r="F279" s="52" t="n">
        <x:v>11.5</x:v>
      </x:c>
      <x:c r="G279" s="52" t="n">
        <x:v>23</x:v>
      </x:c>
      <x:c r="H279" s="60" t="n">
        <x:f>G279-F279</x:f>
        <x:v>11.5</x:v>
      </x:c>
      <x:c r="I279" s="50" t="str">
        <x:v>adult-famille-nombreuse-50</x:v>
      </x:c>
      <x:c r="J279" s="50" t="str">
        <x:v>meximieux-perouges|geneve</x:v>
      </x:c>
    </x:row>
    <x:row r="280">
      <x:c r="A280" s="50" t="str">
        <x:v>Meximieux – Pérouges</x:v>
      </x:c>
      <x:c r="B280" s="50" t="str">
        <x:v>Genève</x:v>
      </x:c>
      <x:c r="C280" s="51" t="n">
        <x:v>140</x:v>
      </x:c>
      <x:c r="D280" s="50" t="str">
        <x:v>Adulte</x:v>
      </x:c>
      <x:c r="E280" s="50" t="str">
        <x:v>Carte Familles Nombreuses (-75 %)</x:v>
      </x:c>
      <x:c r="F280" s="52" t="n">
        <x:v>5.8</x:v>
      </x:c>
      <x:c r="G280" s="52" t="n">
        <x:v>17.3</x:v>
      </x:c>
      <x:c r="H280" s="60" t="n">
        <x:f>G280-F280</x:f>
        <x:v>11.5</x:v>
      </x:c>
      <x:c r="I280" s="50" t="str">
        <x:v>adult-famille-nombreuse-75</x:v>
      </x:c>
      <x:c r="J280" s="50" t="str">
        <x:v>meximieux-perouges|geneve</x:v>
      </x:c>
    </x:row>
    <x:row r="281">
      <x:c r="A281" s="50" t="str">
        <x:v>Meximieux – Pérouges</x:v>
      </x:c>
      <x:c r="B281" s="50" t="str">
        <x:v>Genève</x:v>
      </x:c>
      <x:c r="C281" s="51" t="n">
        <x:v>140</x:v>
      </x:c>
      <x:c r="D281" s="50" t="str">
        <x:v>Adulte</x:v>
      </x:c>
      <x:c r="E281" s="50" t="str">
        <x:v>Carte Militaire (-75 %)</x:v>
      </x:c>
      <x:c r="F281" s="52" t="n">
        <x:v>5.8</x:v>
      </x:c>
      <x:c r="G281" s="52" t="n">
        <x:v>17.3</x:v>
      </x:c>
      <x:c r="H281" s="60" t="n">
        <x:f>G281-F281</x:f>
        <x:v>11.5</x:v>
      </x:c>
      <x:c r="I281" s="50" t="str">
        <x:v>adult-military</x:v>
      </x:c>
      <x:c r="J281" s="50" t="str">
        <x:v>meximieux-perouges|geneve</x:v>
      </x:c>
    </x:row>
    <x:row r="282">
      <x:c r="A282" s="50" t="str">
        <x:v>Meximieux – Pérouges</x:v>
      </x:c>
      <x:c r="B282" s="50" t="str">
        <x:v>Genève</x:v>
      </x:c>
      <x:c r="C282" s="51" t="n">
        <x:v>140</x:v>
      </x:c>
      <x:c r="D282" s="50" t="str">
        <x:v>Adulte</x:v>
      </x:c>
      <x:c r="E282" s="50" t="str">
        <x:v>Carte Famille Militaire (-40 %)</x:v>
      </x:c>
      <x:c r="F282" s="52" t="n">
        <x:v>17.1</x:v>
      </x:c>
      <x:c r="G282" s="52" t="n">
        <x:v>26</x:v>
      </x:c>
      <x:c r="H282" s="60" t="n">
        <x:f>G282-F282</x:f>
        <x:v>8.899999999999999</x:v>
      </x:c>
      <x:c r="I282" s="50" t="str">
        <x:v>adult-family-military</x:v>
      </x:c>
      <x:c r="J282" s="50" t="str">
        <x:v>meximieux-perouges|geneve</x:v>
      </x:c>
    </x:row>
    <x:row r="283">
      <x:c r="A283" s="50" t="str">
        <x:v>Meximieux – Pérouges</x:v>
      </x:c>
      <x:c r="B283" s="50" t="str">
        <x:v>Genève</x:v>
      </x:c>
      <x:c r="C283" s="51" t="n">
        <x:v>140</x:v>
      </x:c>
      <x:c r="D283" s="50" t="str">
        <x:v>Enfant 4–11 ans</x:v>
      </x:c>
      <x:c r="E283" s="50" t="str">
        <x:v>Aucune — Tarif Enfant 4–11 ans</x:v>
      </x:c>
      <x:c r="F283" s="52" t="n">
        <x:v>14.2</x:v>
      </x:c>
      <x:c r="G283" s="52" t="n">
        <x:v>21.6</x:v>
      </x:c>
      <x:c r="H283" s="60" t="n">
        <x:f>G283-F283</x:f>
        <x:v>7.400000000000002</x:v>
      </x:c>
      <x:c r="I283" s="50" t="str">
        <x:v>child-none</x:v>
      </x:c>
      <x:c r="J283" s="50" t="str">
        <x:v>meximieux-perouges|geneve</x:v>
      </x:c>
    </x:row>
    <x:row r="284">
      <x:c r="A284" s="50" t="str">
        <x:v>Meximieux – Pérouges</x:v>
      </x:c>
      <x:c r="B284" s="50" t="str">
        <x:v>Genève</x:v>
      </x:c>
      <x:c r="C284" s="51" t="n">
        <x:v>140</x:v>
      </x:c>
      <x:c r="D284" s="50" t="str">
        <x:v>Enfant 4–11 ans</x:v>
      </x:c>
      <x:c r="E284" s="50" t="str">
        <x:v>illico LIBERTÉ — Accompagnant, Week-end / Jour férié</x:v>
      </x:c>
      <x:c r="F284" s="52" t="n">
        <x:v>7.1</x:v>
      </x:c>
      <x:c r="G284" s="52" t="n">
        <x:v>10.8</x:v>
      </x:c>
      <x:c r="H284" s="60" t="n">
        <x:f>G284-F284</x:f>
        <x:v>3.700000000000001</x:v>
      </x:c>
      <x:c r="I284" s="50" t="str">
        <x:v>child-illico-liberte-weekend-companion</x:v>
      </x:c>
      <x:c r="J284" s="50" t="str">
        <x:v>meximieux-perouges|geneve</x:v>
      </x:c>
    </x:row>
    <x:row r="285">
      <x:c r="A285" s="50" t="str">
        <x:v>Meximieux – Pérouges</x:v>
      </x:c>
      <x:c r="B285" s="50" t="str">
        <x:v>Genève</x:v>
      </x:c>
      <x:c r="C285" s="51" t="n">
        <x:v>140</x:v>
      </x:c>
      <x:c r="D285" s="50" t="str">
        <x:v>Enfant 4–11 ans</x:v>
      </x:c>
      <x:c r="E285" s="50" t="str">
        <x:v>Carte Famille Militaire</x:v>
      </x:c>
      <x:c r="F285" s="52" t="n">
        <x:v>8.6</x:v>
      </x:c>
      <x:c r="G285" s="52" t="n">
        <x:v>13</x:v>
      </x:c>
      <x:c r="H285" s="60" t="n">
        <x:f>G285-F285</x:f>
        <x:v>4.4</x:v>
      </x:c>
      <x:c r="I285" s="50" t="str">
        <x:v>child-family-military</x:v>
      </x:c>
      <x:c r="J285" s="50" t="str">
        <x:v>meximieux-perouges|geneve</x:v>
      </x:c>
    </x:row>
    <x:row r="286">
      <x:c r="A286" s="50" t="str">
        <x:v>Meximieux – Pérouges</x:v>
      </x:c>
      <x:c r="B286" s="50" t="str">
        <x:v>Genève</x:v>
      </x:c>
      <x:c r="C286" s="51" t="n">
        <x:v>140</x:v>
      </x:c>
      <x:c r="D286" s="50" t="str">
        <x:v>Enfant 4–11 ans</x:v>
      </x:c>
      <x:c r="E286" s="50" t="str">
        <x:v>Carte Familles Nombreuses (-30 %)</x:v>
      </x:c>
      <x:c r="F286" s="52" t="n">
        <x:v>8.1</x:v>
      </x:c>
      <x:c r="G286" s="52" t="n">
        <x:v>13.8</x:v>
      </x:c>
      <x:c r="H286" s="60" t="n">
        <x:f>G286-F286</x:f>
        <x:v>5.700000000000001</x:v>
      </x:c>
      <x:c r="I286" s="50" t="str">
        <x:v>child-famille-nombreuse-30</x:v>
      </x:c>
      <x:c r="J286" s="50" t="str">
        <x:v>meximieux-perouges|geneve</x:v>
      </x:c>
    </x:row>
    <x:row r="287">
      <x:c r="A287" s="50" t="str">
        <x:v>Meximieux – Pérouges</x:v>
      </x:c>
      <x:c r="B287" s="50" t="str">
        <x:v>Genève</x:v>
      </x:c>
      <x:c r="C287" s="51" t="n">
        <x:v>140</x:v>
      </x:c>
      <x:c r="D287" s="50" t="str">
        <x:v>Enfant 4–11 ans</x:v>
      </x:c>
      <x:c r="E287" s="50" t="str">
        <x:v>Carte Familles Nombreuses (-40 %)</x:v>
      </x:c>
      <x:c r="F287" s="52" t="n">
        <x:v>6.9</x:v>
      </x:c>
      <x:c r="G287" s="52" t="n">
        <x:v>12.7</x:v>
      </x:c>
      <x:c r="H287" s="60" t="n">
        <x:f>G287-F287</x:f>
        <x:v>5.799999999999999</x:v>
      </x:c>
      <x:c r="I287" s="50" t="str">
        <x:v>child-famille-nombreuse-40</x:v>
      </x:c>
      <x:c r="J287" s="50" t="str">
        <x:v>meximieux-perouges|geneve</x:v>
      </x:c>
    </x:row>
    <x:row r="288">
      <x:c r="A288" s="50" t="str">
        <x:v>Meximieux – Pérouges</x:v>
      </x:c>
      <x:c r="B288" s="50" t="str">
        <x:v>Genève</x:v>
      </x:c>
      <x:c r="C288" s="51" t="n">
        <x:v>140</x:v>
      </x:c>
      <x:c r="D288" s="50" t="str">
        <x:v>Enfant 4–11 ans</x:v>
      </x:c>
      <x:c r="E288" s="50" t="str">
        <x:v>Carte Familles Nombreuses (-50 %)</x:v>
      </x:c>
      <x:c r="F288" s="52" t="n">
        <x:v>5.8</x:v>
      </x:c>
      <x:c r="G288" s="52" t="n">
        <x:v>11.5</x:v>
      </x:c>
      <x:c r="H288" s="60" t="n">
        <x:f>G288-F288</x:f>
        <x:v>5.7</x:v>
      </x:c>
      <x:c r="I288" s="50" t="str">
        <x:v>child-famille-nombreuse-50</x:v>
      </x:c>
      <x:c r="J288" s="50" t="str">
        <x:v>meximieux-perouges|geneve</x:v>
      </x:c>
    </x:row>
    <x:row r="289">
      <x:c r="A289" s="50" t="str">
        <x:v>Meximieux – Pérouges</x:v>
      </x:c>
      <x:c r="B289" s="50" t="str">
        <x:v>Genève</x:v>
      </x:c>
      <x:c r="C289" s="51" t="n">
        <x:v>140</x:v>
      </x:c>
      <x:c r="D289" s="50" t="str">
        <x:v>Enfant 4–11 ans</x:v>
      </x:c>
      <x:c r="E289" s="50" t="str">
        <x:v>Carte Familles Nombreuses (-75 %)</x:v>
      </x:c>
      <x:c r="F289" s="52" t="n">
        <x:v>2.9</x:v>
      </x:c>
      <x:c r="G289" s="52" t="n">
        <x:v>8.7</x:v>
      </x:c>
      <x:c r="H289" s="60" t="n">
        <x:f>G289-F289</x:f>
        <x:v>5.799999999999999</x:v>
      </x:c>
      <x:c r="I289" s="50" t="str">
        <x:v>child-famille-nombreuse-75</x:v>
      </x:c>
      <x:c r="J289" s="50" t="str">
        <x:v>meximieux-perouges|geneve</x:v>
      </x:c>
    </x:row>
    <x:row r="290">
      <x:c r="A290" s="50" t="str">
        <x:v>Ambérieu-en-Bugey</x:v>
      </x:c>
      <x:c r="B290" s="50" t="str">
        <x:v>Tenay-Hauteville</x:v>
      </x:c>
      <x:c r="C290" s="51" t="n">
        <x:v>18</x:v>
      </x:c>
      <x:c r="D290" s="50" t="str">
        <x:v>Adulte</x:v>
      </x:c>
      <x:c r="E290" s="50" t="str">
        <x:v>Aucune — Plein tarif</x:v>
      </x:c>
      <x:c r="F290" s="52" t="n">
        <x:v>5.4</x:v>
      </x:c>
      <x:c r="G290" s="52" t="n">
        <x:v>8.2</x:v>
      </x:c>
      <x:c r="H290" s="60" t="n">
        <x:f>G290-F290</x:f>
        <x:v>2.799999999999999</x:v>
      </x:c>
      <x:c r="I290" s="50" t="str">
        <x:v>adult-none</x:v>
      </x:c>
      <x:c r="J290" s="50" t="str">
        <x:v>amberieu-en-bugey|tenay-hauteville</x:v>
      </x:c>
    </x:row>
    <x:row r="291">
      <x:c r="A291" s="50" t="str">
        <x:v>Ambérieu-en-Bugey</x:v>
      </x:c>
      <x:c r="B291" s="50" t="str">
        <x:v>Tenay-Hauteville</x:v>
      </x:c>
      <x:c r="C291" s="51" t="n">
        <x:v>18</x:v>
      </x:c>
      <x:c r="D291" s="50" t="str">
        <x:v>Adulte</x:v>
      </x:c>
      <x:c r="E291" s="50" t="str">
        <x:v>illico LIBERTÉ — Semaine (-25 %)</x:v>
      </x:c>
      <x:c r="F291" s="52" t="n">
        <x:v>4.1</x:v>
      </x:c>
      <x:c r="G291" s="52" t="n">
        <x:v>6.2</x:v>
      </x:c>
      <x:c r="H291" s="60" t="n">
        <x:f>G291-F291</x:f>
        <x:v>2.1000000000000005</x:v>
      </x:c>
      <x:c r="I291" s="50" t="str">
        <x:v>adult-illico-liberte-weekday</x:v>
      </x:c>
      <x:c r="J291" s="50" t="str">
        <x:v>amberieu-en-bugey|tenay-hauteville</x:v>
      </x:c>
    </x:row>
    <x:row r="292">
      <x:c r="A292" s="50" t="str">
        <x:v>Ambérieu-en-Bugey</x:v>
      </x:c>
      <x:c r="B292" s="50" t="str">
        <x:v>Tenay-Hauteville</x:v>
      </x:c>
      <x:c r="C292" s="51" t="n">
        <x:v>18</x:v>
      </x:c>
      <x:c r="D292" s="50" t="str">
        <x:v>Adulte</x:v>
      </x:c>
      <x:c r="E292" s="50" t="str">
        <x:v>illico LIBERTÉ — Week-end / Jour férié (-50 %)</x:v>
      </x:c>
      <x:c r="F292" s="52" t="n">
        <x:v>2.7</x:v>
      </x:c>
      <x:c r="G292" s="52" t="n">
        <x:v>4.1</x:v>
      </x:c>
      <x:c r="H292" s="60" t="n">
        <x:f>G292-F292</x:f>
        <x:v>1.3999999999999995</x:v>
      </x:c>
      <x:c r="I292" s="50" t="str">
        <x:v>adult-illico-liberte-weekend</x:v>
      </x:c>
      <x:c r="J292" s="50" t="str">
        <x:v>amberieu-en-bugey|tenay-hauteville</x:v>
      </x:c>
    </x:row>
    <x:row r="293">
      <x:c r="A293" s="50" t="str">
        <x:v>Ambérieu-en-Bugey</x:v>
      </x:c>
      <x:c r="B293" s="50" t="str">
        <x:v>Tenay-Hauteville</x:v>
      </x:c>
      <x:c r="C293" s="51" t="n">
        <x:v>18</x:v>
      </x:c>
      <x:c r="D293" s="50" t="str">
        <x:v>Adulte</x:v>
      </x:c>
      <x:c r="E293" s="50" t="str">
        <x:v>illico LIBERTÉ — Accompagnant, Week-end / Jour férié (-50 %)</x:v>
      </x:c>
      <x:c r="F293" s="52" t="n">
        <x:v>2.7</x:v>
      </x:c>
      <x:c r="G293" s="52" t="n">
        <x:v>4.1</x:v>
      </x:c>
      <x:c r="H293" s="60" t="n">
        <x:f>G293-F293</x:f>
        <x:v>1.3999999999999995</x:v>
      </x:c>
      <x:c r="I293" s="50" t="str">
        <x:v>adult-illico-liberte-weekend-companion</x:v>
      </x:c>
      <x:c r="J293" s="50" t="str">
        <x:v>amberieu-en-bugey|tenay-hauteville</x:v>
      </x:c>
    </x:row>
    <x:row r="294">
      <x:c r="A294" s="50" t="str">
        <x:v>Ambérieu-en-Bugey</x:v>
      </x:c>
      <x:c r="B294" s="50" t="str">
        <x:v>Tenay-Hauteville</x:v>
      </x:c>
      <x:c r="C294" s="51" t="n">
        <x:v>18</x:v>
      </x:c>
      <x:c r="D294" s="50" t="str">
        <x:v>Adulte</x:v>
      </x:c>
      <x:c r="E294" s="50" t="str">
        <x:v>illico LIBERTÉ JEUNES (-50 %)</x:v>
      </x:c>
      <x:c r="F294" s="52" t="n">
        <x:v>2.7</x:v>
      </x:c>
      <x:c r="G294" s="52" t="n">
        <x:v>4.1</x:v>
      </x:c>
      <x:c r="H294" s="60" t="n">
        <x:f>G294-F294</x:f>
        <x:v>1.3999999999999995</x:v>
      </x:c>
      <x:c r="I294" s="50" t="str">
        <x:v>adult-illico-jeunes</x:v>
      </x:c>
      <x:c r="J294" s="50" t="str">
        <x:v>amberieu-en-bugey|tenay-hauteville</x:v>
      </x:c>
    </x:row>
    <x:row r="295">
      <x:c r="A295" s="50" t="str">
        <x:v>Ambérieu-en-Bugey</x:v>
      </x:c>
      <x:c r="B295" s="50" t="str">
        <x:v>Tenay-Hauteville</x:v>
      </x:c>
      <x:c r="C295" s="51" t="n">
        <x:v>18</x:v>
      </x:c>
      <x:c r="D295" s="50" t="str">
        <x:v>Adulte</x:v>
      </x:c>
      <x:c r="E295" s="50" t="str">
        <x:v>Carte Liberté SNCF (-25 %)</x:v>
      </x:c>
      <x:c r="F295" s="52" t="n">
        <x:v>4.1</x:v>
      </x:c>
      <x:c r="G295" s="52" t="n">
        <x:v>6.2</x:v>
      </x:c>
      <x:c r="H295" s="60" t="n">
        <x:f>G295-F295</x:f>
        <x:v>2.1000000000000005</x:v>
      </x:c>
      <x:c r="I295" s="50" t="str">
        <x:v>adult-liberte-nationale</x:v>
      </x:c>
      <x:c r="J295" s="50" t="str">
        <x:v>amberieu-en-bugey|tenay-hauteville</x:v>
      </x:c>
    </x:row>
    <x:row r="296">
      <x:c r="A296" s="50" t="str">
        <x:v>Ambérieu-en-Bugey</x:v>
      </x:c>
      <x:c r="B296" s="50" t="str">
        <x:v>Tenay-Hauteville</x:v>
      </x:c>
      <x:c r="C296" s="51" t="n">
        <x:v>18</x:v>
      </x:c>
      <x:c r="D296" s="50" t="str">
        <x:v>Adulte</x:v>
      </x:c>
      <x:c r="E296" s="50" t="str">
        <x:v>Carte Familles Nombreuses (-30 %)</x:v>
      </x:c>
      <x:c r="F296" s="52" t="n">
        <x:v>3.1</x:v>
      </x:c>
      <x:c r="G296" s="52" t="n">
        <x:v>5.3</x:v>
      </x:c>
      <x:c r="H296" s="60" t="n">
        <x:f>G296-F296</x:f>
        <x:v>2.1999999999999997</x:v>
      </x:c>
      <x:c r="I296" s="50" t="str">
        <x:v>adult-famille-nombreuse-30</x:v>
      </x:c>
      <x:c r="J296" s="50" t="str">
        <x:v>amberieu-en-bugey|tenay-hauteville</x:v>
      </x:c>
    </x:row>
    <x:row r="297">
      <x:c r="A297" s="50" t="str">
        <x:v>Ambérieu-en-Bugey</x:v>
      </x:c>
      <x:c r="B297" s="50" t="str">
        <x:v>Tenay-Hauteville</x:v>
      </x:c>
      <x:c r="C297" s="51" t="n">
        <x:v>18</x:v>
      </x:c>
      <x:c r="D297" s="50" t="str">
        <x:v>Adulte</x:v>
      </x:c>
      <x:c r="E297" s="50" t="str">
        <x:v>Carte Familles Nombreuses (-40 %)</x:v>
      </x:c>
      <x:c r="F297" s="52" t="n">
        <x:v>2.7</x:v>
      </x:c>
      <x:c r="G297" s="52" t="n">
        <x:v>4.9</x:v>
      </x:c>
      <x:c r="H297" s="60" t="n">
        <x:f>G297-F297</x:f>
        <x:v>2.2</x:v>
      </x:c>
      <x:c r="I297" s="50" t="str">
        <x:v>adult-famille-nombreuse-40</x:v>
      </x:c>
      <x:c r="J297" s="50" t="str">
        <x:v>amberieu-en-bugey|tenay-hauteville</x:v>
      </x:c>
    </x:row>
    <x:row r="298">
      <x:c r="A298" s="50" t="str">
        <x:v>Ambérieu-en-Bugey</x:v>
      </x:c>
      <x:c r="B298" s="50" t="str">
        <x:v>Tenay-Hauteville</x:v>
      </x:c>
      <x:c r="C298" s="51" t="n">
        <x:v>18</x:v>
      </x:c>
      <x:c r="D298" s="50" t="str">
        <x:v>Adulte</x:v>
      </x:c>
      <x:c r="E298" s="50" t="str">
        <x:v>Carte Familles Nombreuses (-50 %)</x:v>
      </x:c>
      <x:c r="F298" s="52" t="n">
        <x:v>2.2</x:v>
      </x:c>
      <x:c r="G298" s="52" t="n">
        <x:v>4.4</x:v>
      </x:c>
      <x:c r="H298" s="60" t="n">
        <x:f>G298-F298</x:f>
        <x:v>2.2</x:v>
      </x:c>
      <x:c r="I298" s="50" t="str">
        <x:v>adult-famille-nombreuse-50</x:v>
      </x:c>
      <x:c r="J298" s="50" t="str">
        <x:v>amberieu-en-bugey|tenay-hauteville</x:v>
      </x:c>
    </x:row>
    <x:row r="299">
      <x:c r="A299" s="50" t="str">
        <x:v>Ambérieu-en-Bugey</x:v>
      </x:c>
      <x:c r="B299" s="50" t="str">
        <x:v>Tenay-Hauteville</x:v>
      </x:c>
      <x:c r="C299" s="51" t="n">
        <x:v>18</x:v>
      </x:c>
      <x:c r="D299" s="50" t="str">
        <x:v>Adulte</x:v>
      </x:c>
      <x:c r="E299" s="50" t="str">
        <x:v>Carte Familles Nombreuses (-75 %)</x:v>
      </x:c>
      <x:c r="F299" s="52" t="n">
        <x:v>1.2</x:v>
      </x:c>
      <x:c r="G299" s="52" t="n">
        <x:v>3.3</x:v>
      </x:c>
      <x:c r="H299" s="60" t="n">
        <x:f>G299-F299</x:f>
        <x:v>2.0999999999999996</x:v>
      </x:c>
      <x:c r="I299" s="50" t="str">
        <x:v>adult-famille-nombreuse-75</x:v>
      </x:c>
      <x:c r="J299" s="50" t="str">
        <x:v>amberieu-en-bugey|tenay-hauteville</x:v>
      </x:c>
    </x:row>
    <x:row r="300">
      <x:c r="A300" s="50" t="str">
        <x:v>Ambérieu-en-Bugey</x:v>
      </x:c>
      <x:c r="B300" s="50" t="str">
        <x:v>Tenay-Hauteville</x:v>
      </x:c>
      <x:c r="C300" s="51" t="n">
        <x:v>18</x:v>
      </x:c>
      <x:c r="D300" s="50" t="str">
        <x:v>Adulte</x:v>
      </x:c>
      <x:c r="E300" s="50" t="str">
        <x:v>Carte Militaire (-75 %)</x:v>
      </x:c>
      <x:c r="F300" s="52" t="n">
        <x:v>1.2</x:v>
      </x:c>
      <x:c r="G300" s="52" t="n">
        <x:v>3.3</x:v>
      </x:c>
      <x:c r="H300" s="60" t="n">
        <x:f>G300-F300</x:f>
        <x:v>2.0999999999999996</x:v>
      </x:c>
      <x:c r="I300" s="50" t="str">
        <x:v>adult-military</x:v>
      </x:c>
      <x:c r="J300" s="50" t="str">
        <x:v>amberieu-en-bugey|tenay-hauteville</x:v>
      </x:c>
    </x:row>
    <x:row r="301">
      <x:c r="A301" s="50" t="str">
        <x:v>Ambérieu-en-Bugey</x:v>
      </x:c>
      <x:c r="B301" s="50" t="str">
        <x:v>Tenay-Hauteville</x:v>
      </x:c>
      <x:c r="C301" s="51" t="n">
        <x:v>18</x:v>
      </x:c>
      <x:c r="D301" s="50" t="str">
        <x:v>Adulte</x:v>
      </x:c>
      <x:c r="E301" s="50" t="str">
        <x:v>Carte Famille Militaire (-40 %)</x:v>
      </x:c>
      <x:c r="F301" s="52" t="n">
        <x:v>3.3</x:v>
      </x:c>
      <x:c r="G301" s="52" t="n">
        <x:v>5</x:v>
      </x:c>
      <x:c r="H301" s="60" t="n">
        <x:f>G301-F301</x:f>
        <x:v>1.7000000000000002</x:v>
      </x:c>
      <x:c r="I301" s="50" t="str">
        <x:v>adult-family-military</x:v>
      </x:c>
      <x:c r="J301" s="50" t="str">
        <x:v>amberieu-en-bugey|tenay-hauteville</x:v>
      </x:c>
    </x:row>
    <x:row r="302">
      <x:c r="A302" s="50" t="str">
        <x:v>Ambérieu-en-Bugey</x:v>
      </x:c>
      <x:c r="B302" s="50" t="str">
        <x:v>Tenay-Hauteville</x:v>
      </x:c>
      <x:c r="C302" s="51" t="n">
        <x:v>18</x:v>
      </x:c>
      <x:c r="D302" s="50" t="str">
        <x:v>Enfant 4–11 ans</x:v>
      </x:c>
      <x:c r="E302" s="50" t="str">
        <x:v>Aucune — Tarif Enfant 4–11 ans</x:v>
      </x:c>
      <x:c r="F302" s="52" t="n">
        <x:v>2.7</x:v>
      </x:c>
      <x:c r="G302" s="52" t="n">
        <x:v>4.1</x:v>
      </x:c>
      <x:c r="H302" s="60" t="n">
        <x:f>G302-F302</x:f>
        <x:v>1.3999999999999995</x:v>
      </x:c>
      <x:c r="I302" s="50" t="str">
        <x:v>child-none</x:v>
      </x:c>
      <x:c r="J302" s="50" t="str">
        <x:v>amberieu-en-bugey|tenay-hauteville</x:v>
      </x:c>
    </x:row>
    <x:row r="303">
      <x:c r="A303" s="50" t="str">
        <x:v>Ambérieu-en-Bugey</x:v>
      </x:c>
      <x:c r="B303" s="50" t="str">
        <x:v>Tenay-Hauteville</x:v>
      </x:c>
      <x:c r="C303" s="51" t="n">
        <x:v>18</x:v>
      </x:c>
      <x:c r="D303" s="50" t="str">
        <x:v>Enfant 4–11 ans</x:v>
      </x:c>
      <x:c r="E303" s="50" t="str">
        <x:v>illico LIBERTÉ — Accompagnant, Week-end / Jour férié</x:v>
      </x:c>
      <x:c r="F303" s="52" t="n">
        <x:v>1.4</x:v>
      </x:c>
      <x:c r="G303" s="52" t="n">
        <x:v>2.1</x:v>
      </x:c>
      <x:c r="H303" s="60" t="n">
        <x:f>G303-F303</x:f>
        <x:v>0.7000000000000002</x:v>
      </x:c>
      <x:c r="I303" s="50" t="str">
        <x:v>child-illico-liberte-weekend-companion</x:v>
      </x:c>
      <x:c r="J303" s="50" t="str">
        <x:v>amberieu-en-bugey|tenay-hauteville</x:v>
      </x:c>
    </x:row>
    <x:row r="304">
      <x:c r="A304" s="50" t="str">
        <x:v>Ambérieu-en-Bugey</x:v>
      </x:c>
      <x:c r="B304" s="50" t="str">
        <x:v>Tenay-Hauteville</x:v>
      </x:c>
      <x:c r="C304" s="51" t="n">
        <x:v>18</x:v>
      </x:c>
      <x:c r="D304" s="50" t="str">
        <x:v>Enfant 4–11 ans</x:v>
      </x:c>
      <x:c r="E304" s="50" t="str">
        <x:v>Carte Famille Militaire</x:v>
      </x:c>
      <x:c r="F304" s="52" t="n">
        <x:v>1.7</x:v>
      </x:c>
      <x:c r="G304" s="52" t="n">
        <x:v>2.5</x:v>
      </x:c>
      <x:c r="H304" s="60" t="n">
        <x:f>G304-F304</x:f>
        <x:v>0.8</x:v>
      </x:c>
      <x:c r="I304" s="50" t="str">
        <x:v>child-family-military</x:v>
      </x:c>
      <x:c r="J304" s="50" t="str">
        <x:v>amberieu-en-bugey|tenay-hauteville</x:v>
      </x:c>
    </x:row>
    <x:row r="305">
      <x:c r="A305" s="50" t="str">
        <x:v>Ambérieu-en-Bugey</x:v>
      </x:c>
      <x:c r="B305" s="50" t="str">
        <x:v>Tenay-Hauteville</x:v>
      </x:c>
      <x:c r="C305" s="51" t="n">
        <x:v>18</x:v>
      </x:c>
      <x:c r="D305" s="50" t="str">
        <x:v>Enfant 4–11 ans</x:v>
      </x:c>
      <x:c r="E305" s="50" t="str">
        <x:v>Carte Familles Nombreuses (-30 %)</x:v>
      </x:c>
      <x:c r="F305" s="52" t="n">
        <x:v>1.6</x:v>
      </x:c>
      <x:c r="G305" s="52" t="n">
        <x:v>2.7</x:v>
      </x:c>
      <x:c r="H305" s="60" t="n">
        <x:f>G305-F305</x:f>
        <x:v>1.1</x:v>
      </x:c>
      <x:c r="I305" s="50" t="str">
        <x:v>child-famille-nombreuse-30</x:v>
      </x:c>
      <x:c r="J305" s="50" t="str">
        <x:v>amberieu-en-bugey|tenay-hauteville</x:v>
      </x:c>
    </x:row>
    <x:row r="306">
      <x:c r="A306" s="50" t="str">
        <x:v>Ambérieu-en-Bugey</x:v>
      </x:c>
      <x:c r="B306" s="50" t="str">
        <x:v>Tenay-Hauteville</x:v>
      </x:c>
      <x:c r="C306" s="51" t="n">
        <x:v>18</x:v>
      </x:c>
      <x:c r="D306" s="50" t="str">
        <x:v>Enfant 4–11 ans</x:v>
      </x:c>
      <x:c r="E306" s="50" t="str">
        <x:v>Carte Familles Nombreuses (-40 %)</x:v>
      </x:c>
      <x:c r="F306" s="52" t="n">
        <x:v>1.4</x:v>
      </x:c>
      <x:c r="G306" s="52" t="n">
        <x:v>2.5</x:v>
      </x:c>
      <x:c r="H306" s="60" t="n">
        <x:f>G306-F306</x:f>
        <x:v>1.1</x:v>
      </x:c>
      <x:c r="I306" s="50" t="str">
        <x:v>child-famille-nombreuse-40</x:v>
      </x:c>
      <x:c r="J306" s="50" t="str">
        <x:v>amberieu-en-bugey|tenay-hauteville</x:v>
      </x:c>
    </x:row>
    <x:row r="307">
      <x:c r="A307" s="50" t="str">
        <x:v>Ambérieu-en-Bugey</x:v>
      </x:c>
      <x:c r="B307" s="50" t="str">
        <x:v>Tenay-Hauteville</x:v>
      </x:c>
      <x:c r="C307" s="51" t="n">
        <x:v>18</x:v>
      </x:c>
      <x:c r="D307" s="50" t="str">
        <x:v>Enfant 4–11 ans</x:v>
      </x:c>
      <x:c r="E307" s="50" t="str">
        <x:v>Carte Familles Nombreuses (-50 %)</x:v>
      </x:c>
      <x:c r="F307" s="52" t="n">
        <x:v>1.2</x:v>
      </x:c>
      <x:c r="G307" s="52" t="n">
        <x:v>2.2</x:v>
      </x:c>
      <x:c r="H307" s="60" t="n">
        <x:f>G307-F307</x:f>
        <x:v>1.0000000000000002</x:v>
      </x:c>
      <x:c r="I307" s="50" t="str">
        <x:v>child-famille-nombreuse-50</x:v>
      </x:c>
      <x:c r="J307" s="50" t="str">
        <x:v>amberieu-en-bugey|tenay-hauteville</x:v>
      </x:c>
    </x:row>
    <x:row r="308">
      <x:c r="A308" s="50" t="str">
        <x:v>Ambérieu-en-Bugey</x:v>
      </x:c>
      <x:c r="B308" s="50" t="str">
        <x:v>Tenay-Hauteville</x:v>
      </x:c>
      <x:c r="C308" s="51" t="n">
        <x:v>18</x:v>
      </x:c>
      <x:c r="D308" s="50" t="str">
        <x:v>Enfant 4–11 ans</x:v>
      </x:c>
      <x:c r="E308" s="50" t="str">
        <x:v>Carte Familles Nombreuses (-75 %)</x:v>
      </x:c>
      <x:c r="F308" s="52" t="n">
        <x:v>1.2</x:v>
      </x:c>
      <x:c r="G308" s="52" t="n">
        <x:v>1.8</x:v>
      </x:c>
      <x:c r="H308" s="60" t="n">
        <x:f>G308-F308</x:f>
        <x:v>0.6000000000000001</x:v>
      </x:c>
      <x:c r="I308" s="50" t="str">
        <x:v>child-famille-nombreuse-75</x:v>
      </x:c>
      <x:c r="J308" s="50" t="str">
        <x:v>amberieu-en-bugey|tenay-hauteville</x:v>
      </x:c>
    </x:row>
    <x:row r="309">
      <x:c r="A309" s="50" t="str">
        <x:v>Ambérieu-en-Bugey</x:v>
      </x:c>
      <x:c r="B309" s="50" t="str">
        <x:v>Virieu-le-Grand – Belley</x:v>
      </x:c>
      <x:c r="C309" s="51" t="n">
        <x:v>39</x:v>
      </x:c>
      <x:c r="D309" s="50" t="str">
        <x:v>Adulte</x:v>
      </x:c>
      <x:c r="E309" s="50" t="str">
        <x:v>Aucune — Plein tarif</x:v>
      </x:c>
      <x:c r="F309" s="52" t="n">
        <x:v>10.4</x:v>
      </x:c>
      <x:c r="G309" s="52" t="n">
        <x:v>15.8</x:v>
      </x:c>
      <x:c r="H309" s="60" t="n">
        <x:f>G309-F309</x:f>
        <x:v>5.4</x:v>
      </x:c>
      <x:c r="I309" s="50" t="str">
        <x:v>adult-none</x:v>
      </x:c>
      <x:c r="J309" s="50" t="str">
        <x:v>amberieu-en-bugey|virieu-le-grand-belley</x:v>
      </x:c>
    </x:row>
    <x:row r="310">
      <x:c r="A310" s="50" t="str">
        <x:v>Ambérieu-en-Bugey</x:v>
      </x:c>
      <x:c r="B310" s="50" t="str">
        <x:v>Virieu-le-Grand – Belley</x:v>
      </x:c>
      <x:c r="C310" s="51" t="n">
        <x:v>39</x:v>
      </x:c>
      <x:c r="D310" s="50" t="str">
        <x:v>Adulte</x:v>
      </x:c>
      <x:c r="E310" s="50" t="str">
        <x:v>illico LIBERTÉ — Semaine (-25 %)</x:v>
      </x:c>
      <x:c r="F310" s="52" t="n">
        <x:v>7.8</x:v>
      </x:c>
      <x:c r="G310" s="52" t="n">
        <x:v>11.9</x:v>
      </x:c>
      <x:c r="H310" s="60" t="n">
        <x:f>G310-F310</x:f>
        <x:v>4.1000000000000005</x:v>
      </x:c>
      <x:c r="I310" s="50" t="str">
        <x:v>adult-illico-liberte-weekday</x:v>
      </x:c>
      <x:c r="J310" s="50" t="str">
        <x:v>amberieu-en-bugey|virieu-le-grand-belley</x:v>
      </x:c>
    </x:row>
    <x:row r="311">
      <x:c r="A311" s="50" t="str">
        <x:v>Ambérieu-en-Bugey</x:v>
      </x:c>
      <x:c r="B311" s="50" t="str">
        <x:v>Virieu-le-Grand – Belley</x:v>
      </x:c>
      <x:c r="C311" s="51" t="n">
        <x:v>39</x:v>
      </x:c>
      <x:c r="D311" s="50" t="str">
        <x:v>Adulte</x:v>
      </x:c>
      <x:c r="E311" s="50" t="str">
        <x:v>illico LIBERTÉ — Week-end / Jour férié (-50 %)</x:v>
      </x:c>
      <x:c r="F311" s="52" t="n">
        <x:v>5.2</x:v>
      </x:c>
      <x:c r="G311" s="52" t="n">
        <x:v>7.9</x:v>
      </x:c>
      <x:c r="H311" s="60" t="n">
        <x:f>G311-F311</x:f>
        <x:v>2.7</x:v>
      </x:c>
      <x:c r="I311" s="50" t="str">
        <x:v>adult-illico-liberte-weekend</x:v>
      </x:c>
      <x:c r="J311" s="50" t="str">
        <x:v>amberieu-en-bugey|virieu-le-grand-belley</x:v>
      </x:c>
    </x:row>
    <x:row r="312">
      <x:c r="A312" s="50" t="str">
        <x:v>Ambérieu-en-Bugey</x:v>
      </x:c>
      <x:c r="B312" s="50" t="str">
        <x:v>Virieu-le-Grand – Belley</x:v>
      </x:c>
      <x:c r="C312" s="51" t="n">
        <x:v>39</x:v>
      </x:c>
      <x:c r="D312" s="50" t="str">
        <x:v>Adulte</x:v>
      </x:c>
      <x:c r="E312" s="50" t="str">
        <x:v>illico LIBERTÉ — Accompagnant, Week-end / Jour férié (-50 %)</x:v>
      </x:c>
      <x:c r="F312" s="52" t="n">
        <x:v>5.2</x:v>
      </x:c>
      <x:c r="G312" s="52" t="n">
        <x:v>7.9</x:v>
      </x:c>
      <x:c r="H312" s="60" t="n">
        <x:f>G312-F312</x:f>
        <x:v>2.7</x:v>
      </x:c>
      <x:c r="I312" s="50" t="str">
        <x:v>adult-illico-liberte-weekend-companion</x:v>
      </x:c>
      <x:c r="J312" s="50" t="str">
        <x:v>amberieu-en-bugey|virieu-le-grand-belley</x:v>
      </x:c>
    </x:row>
    <x:row r="313">
      <x:c r="A313" s="50" t="str">
        <x:v>Ambérieu-en-Bugey</x:v>
      </x:c>
      <x:c r="B313" s="50" t="str">
        <x:v>Virieu-le-Grand – Belley</x:v>
      </x:c>
      <x:c r="C313" s="51" t="n">
        <x:v>39</x:v>
      </x:c>
      <x:c r="D313" s="50" t="str">
        <x:v>Adulte</x:v>
      </x:c>
      <x:c r="E313" s="50" t="str">
        <x:v>illico LIBERTÉ JEUNES (-50 %)</x:v>
      </x:c>
      <x:c r="F313" s="52" t="n">
        <x:v>5.2</x:v>
      </x:c>
      <x:c r="G313" s="52" t="n">
        <x:v>7.9</x:v>
      </x:c>
      <x:c r="H313" s="60" t="n">
        <x:f>G313-F313</x:f>
        <x:v>2.7</x:v>
      </x:c>
      <x:c r="I313" s="50" t="str">
        <x:v>adult-illico-jeunes</x:v>
      </x:c>
      <x:c r="J313" s="50" t="str">
        <x:v>amberieu-en-bugey|virieu-le-grand-belley</x:v>
      </x:c>
    </x:row>
    <x:row r="314">
      <x:c r="A314" s="50" t="str">
        <x:v>Ambérieu-en-Bugey</x:v>
      </x:c>
      <x:c r="B314" s="50" t="str">
        <x:v>Virieu-le-Grand – Belley</x:v>
      </x:c>
      <x:c r="C314" s="51" t="n">
        <x:v>39</x:v>
      </x:c>
      <x:c r="D314" s="50" t="str">
        <x:v>Adulte</x:v>
      </x:c>
      <x:c r="E314" s="50" t="str">
        <x:v>Carte Liberté SNCF (-25 %)</x:v>
      </x:c>
      <x:c r="F314" s="52" t="n">
        <x:v>7.8</x:v>
      </x:c>
      <x:c r="G314" s="52" t="n">
        <x:v>11.9</x:v>
      </x:c>
      <x:c r="H314" s="60" t="n">
        <x:f>G314-F314</x:f>
        <x:v>4.1000000000000005</x:v>
      </x:c>
      <x:c r="I314" s="50" t="str">
        <x:v>adult-liberte-nationale</x:v>
      </x:c>
      <x:c r="J314" s="50" t="str">
        <x:v>amberieu-en-bugey|virieu-le-grand-belley</x:v>
      </x:c>
    </x:row>
    <x:row r="315">
      <x:c r="A315" s="50" t="str">
        <x:v>Ambérieu-en-Bugey</x:v>
      </x:c>
      <x:c r="B315" s="50" t="str">
        <x:v>Virieu-le-Grand – Belley</x:v>
      </x:c>
      <x:c r="C315" s="51" t="n">
        <x:v>39</x:v>
      </x:c>
      <x:c r="D315" s="50" t="str">
        <x:v>Adulte</x:v>
      </x:c>
      <x:c r="E315" s="50" t="str">
        <x:v>Carte Familles Nombreuses (-30 %)</x:v>
      </x:c>
      <x:c r="F315" s="52" t="n">
        <x:v>6</x:v>
      </x:c>
      <x:c r="G315" s="52" t="n">
        <x:v>10.2</x:v>
      </x:c>
      <x:c r="H315" s="60" t="n">
        <x:f>G315-F315</x:f>
        <x:v>4.199999999999999</x:v>
      </x:c>
      <x:c r="I315" s="50" t="str">
        <x:v>adult-famille-nombreuse-30</x:v>
      </x:c>
      <x:c r="J315" s="50" t="str">
        <x:v>amberieu-en-bugey|virieu-le-grand-belley</x:v>
      </x:c>
    </x:row>
    <x:row r="316">
      <x:c r="A316" s="50" t="str">
        <x:v>Ambérieu-en-Bugey</x:v>
      </x:c>
      <x:c r="B316" s="50" t="str">
        <x:v>Virieu-le-Grand – Belley</x:v>
      </x:c>
      <x:c r="C316" s="51" t="n">
        <x:v>39</x:v>
      </x:c>
      <x:c r="D316" s="50" t="str">
        <x:v>Adulte</x:v>
      </x:c>
      <x:c r="E316" s="50" t="str">
        <x:v>Carte Familles Nombreuses (-40 %)</x:v>
      </x:c>
      <x:c r="F316" s="52" t="n">
        <x:v>5.1</x:v>
      </x:c>
      <x:c r="G316" s="52" t="n">
        <x:v>9.3</x:v>
      </x:c>
      <x:c r="H316" s="60" t="n">
        <x:f>G316-F316</x:f>
        <x:v>4.200000000000001</x:v>
      </x:c>
      <x:c r="I316" s="50" t="str">
        <x:v>adult-famille-nombreuse-40</x:v>
      </x:c>
      <x:c r="J316" s="50" t="str">
        <x:v>amberieu-en-bugey|virieu-le-grand-belley</x:v>
      </x:c>
    </x:row>
    <x:row r="317">
      <x:c r="A317" s="50" t="str">
        <x:v>Ambérieu-en-Bugey</x:v>
      </x:c>
      <x:c r="B317" s="50" t="str">
        <x:v>Virieu-le-Grand – Belley</x:v>
      </x:c>
      <x:c r="C317" s="51" t="n">
        <x:v>39</x:v>
      </x:c>
      <x:c r="D317" s="50" t="str">
        <x:v>Adulte</x:v>
      </x:c>
      <x:c r="E317" s="50" t="str">
        <x:v>Carte Familles Nombreuses (-50 %)</x:v>
      </x:c>
      <x:c r="F317" s="52" t="n">
        <x:v>4.3</x:v>
      </x:c>
      <x:c r="G317" s="52" t="n">
        <x:v>8.5</x:v>
      </x:c>
      <x:c r="H317" s="60" t="n">
        <x:f>G317-F317</x:f>
        <x:v>4.2</x:v>
      </x:c>
      <x:c r="I317" s="50" t="str">
        <x:v>adult-famille-nombreuse-50</x:v>
      </x:c>
      <x:c r="J317" s="50" t="str">
        <x:v>amberieu-en-bugey|virieu-le-grand-belley</x:v>
      </x:c>
    </x:row>
    <x:row r="318">
      <x:c r="A318" s="50" t="str">
        <x:v>Ambérieu-en-Bugey</x:v>
      </x:c>
      <x:c r="B318" s="50" t="str">
        <x:v>Virieu-le-Grand – Belley</x:v>
      </x:c>
      <x:c r="C318" s="51" t="n">
        <x:v>39</x:v>
      </x:c>
      <x:c r="D318" s="50" t="str">
        <x:v>Adulte</x:v>
      </x:c>
      <x:c r="E318" s="50" t="str">
        <x:v>Carte Familles Nombreuses (-75 %)</x:v>
      </x:c>
      <x:c r="F318" s="52" t="n">
        <x:v>2.2</x:v>
      </x:c>
      <x:c r="G318" s="52" t="n">
        <x:v>6.4</x:v>
      </x:c>
      <x:c r="H318" s="60" t="n">
        <x:f>G318-F318</x:f>
        <x:v>4.2</x:v>
      </x:c>
      <x:c r="I318" s="50" t="str">
        <x:v>adult-famille-nombreuse-75</x:v>
      </x:c>
      <x:c r="J318" s="50" t="str">
        <x:v>amberieu-en-bugey|virieu-le-grand-belley</x:v>
      </x:c>
    </x:row>
    <x:row r="319">
      <x:c r="A319" s="50" t="str">
        <x:v>Ambérieu-en-Bugey</x:v>
      </x:c>
      <x:c r="B319" s="50" t="str">
        <x:v>Virieu-le-Grand – Belley</x:v>
      </x:c>
      <x:c r="C319" s="51" t="n">
        <x:v>39</x:v>
      </x:c>
      <x:c r="D319" s="50" t="str">
        <x:v>Adulte</x:v>
      </x:c>
      <x:c r="E319" s="50" t="str">
        <x:v>Carte Militaire (-75 %)</x:v>
      </x:c>
      <x:c r="F319" s="52" t="n">
        <x:v>2.2</x:v>
      </x:c>
      <x:c r="G319" s="52" t="n">
        <x:v>6.4</x:v>
      </x:c>
      <x:c r="H319" s="60" t="n">
        <x:f>G319-F319</x:f>
        <x:v>4.2</x:v>
      </x:c>
      <x:c r="I319" s="50" t="str">
        <x:v>adult-military</x:v>
      </x:c>
      <x:c r="J319" s="50" t="str">
        <x:v>amberieu-en-bugey|virieu-le-grand-belley</x:v>
      </x:c>
    </x:row>
    <x:row r="320">
      <x:c r="A320" s="50" t="str">
        <x:v>Ambérieu-en-Bugey</x:v>
      </x:c>
      <x:c r="B320" s="50" t="str">
        <x:v>Virieu-le-Grand – Belley</x:v>
      </x:c>
      <x:c r="C320" s="51" t="n">
        <x:v>39</x:v>
      </x:c>
      <x:c r="D320" s="50" t="str">
        <x:v>Adulte</x:v>
      </x:c>
      <x:c r="E320" s="50" t="str">
        <x:v>Carte Famille Militaire (-40 %)</x:v>
      </x:c>
      <x:c r="F320" s="52" t="n">
        <x:v>6.3</x:v>
      </x:c>
      <x:c r="G320" s="52" t="n">
        <x:v>9.5</x:v>
      </x:c>
      <x:c r="H320" s="60" t="n">
        <x:f>G320-F320</x:f>
        <x:v>3.2</x:v>
      </x:c>
      <x:c r="I320" s="50" t="str">
        <x:v>adult-family-military</x:v>
      </x:c>
      <x:c r="J320" s="50" t="str">
        <x:v>amberieu-en-bugey|virieu-le-grand-belley</x:v>
      </x:c>
    </x:row>
    <x:row r="321">
      <x:c r="A321" s="50" t="str">
        <x:v>Ambérieu-en-Bugey</x:v>
      </x:c>
      <x:c r="B321" s="50" t="str">
        <x:v>Virieu-le-Grand – Belley</x:v>
      </x:c>
      <x:c r="C321" s="51" t="n">
        <x:v>39</x:v>
      </x:c>
      <x:c r="D321" s="50" t="str">
        <x:v>Enfant 4–11 ans</x:v>
      </x:c>
      <x:c r="E321" s="50" t="str">
        <x:v>Aucune — Tarif Enfant 4–11 ans</x:v>
      </x:c>
      <x:c r="F321" s="52" t="n">
        <x:v>5.2</x:v>
      </x:c>
      <x:c r="G321" s="52" t="n">
        <x:v>7.9</x:v>
      </x:c>
      <x:c r="H321" s="60" t="n">
        <x:f>G321-F321</x:f>
        <x:v>2.7</x:v>
      </x:c>
      <x:c r="I321" s="50" t="str">
        <x:v>child-none</x:v>
      </x:c>
      <x:c r="J321" s="50" t="str">
        <x:v>amberieu-en-bugey|virieu-le-grand-belley</x:v>
      </x:c>
    </x:row>
    <x:row r="322">
      <x:c r="A322" s="50" t="str">
        <x:v>Ambérieu-en-Bugey</x:v>
      </x:c>
      <x:c r="B322" s="50" t="str">
        <x:v>Virieu-le-Grand – Belley</x:v>
      </x:c>
      <x:c r="C322" s="51" t="n">
        <x:v>39</x:v>
      </x:c>
      <x:c r="D322" s="50" t="str">
        <x:v>Enfant 4–11 ans</x:v>
      </x:c>
      <x:c r="E322" s="50" t="str">
        <x:v>illico LIBERTÉ — Accompagnant, Week-end / Jour férié</x:v>
      </x:c>
      <x:c r="F322" s="52" t="n">
        <x:v>2.6</x:v>
      </x:c>
      <x:c r="G322" s="52" t="n">
        <x:v>4</x:v>
      </x:c>
      <x:c r="H322" s="60" t="n">
        <x:f>G322-F322</x:f>
        <x:v>1.4</x:v>
      </x:c>
      <x:c r="I322" s="50" t="str">
        <x:v>child-illico-liberte-weekend-companion</x:v>
      </x:c>
      <x:c r="J322" s="50" t="str">
        <x:v>amberieu-en-bugey|virieu-le-grand-belley</x:v>
      </x:c>
    </x:row>
    <x:row r="323">
      <x:c r="A323" s="50" t="str">
        <x:v>Ambérieu-en-Bugey</x:v>
      </x:c>
      <x:c r="B323" s="50" t="str">
        <x:v>Virieu-le-Grand – Belley</x:v>
      </x:c>
      <x:c r="C323" s="51" t="n">
        <x:v>39</x:v>
      </x:c>
      <x:c r="D323" s="50" t="str">
        <x:v>Enfant 4–11 ans</x:v>
      </x:c>
      <x:c r="E323" s="50" t="str">
        <x:v>Carte Famille Militaire</x:v>
      </x:c>
      <x:c r="F323" s="52" t="n">
        <x:v>3.2</x:v>
      </x:c>
      <x:c r="G323" s="52" t="n">
        <x:v>4.8</x:v>
      </x:c>
      <x:c r="H323" s="60" t="n">
        <x:f>G323-F323</x:f>
        <x:v>1.5999999999999996</x:v>
      </x:c>
      <x:c r="I323" s="50" t="str">
        <x:v>child-family-military</x:v>
      </x:c>
      <x:c r="J323" s="50" t="str">
        <x:v>amberieu-en-bugey|virieu-le-grand-belley</x:v>
      </x:c>
    </x:row>
    <x:row r="324">
      <x:c r="A324" s="50" t="str">
        <x:v>Ambérieu-en-Bugey</x:v>
      </x:c>
      <x:c r="B324" s="50" t="str">
        <x:v>Virieu-le-Grand – Belley</x:v>
      </x:c>
      <x:c r="C324" s="51" t="n">
        <x:v>39</x:v>
      </x:c>
      <x:c r="D324" s="50" t="str">
        <x:v>Enfant 4–11 ans</x:v>
      </x:c>
      <x:c r="E324" s="50" t="str">
        <x:v>Carte Familles Nombreuses (-30 %)</x:v>
      </x:c>
      <x:c r="F324" s="52" t="n">
        <x:v>3</x:v>
      </x:c>
      <x:c r="G324" s="52" t="n">
        <x:v>5.1</x:v>
      </x:c>
      <x:c r="H324" s="60" t="n">
        <x:f>G324-F324</x:f>
        <x:v>2.0999999999999996</x:v>
      </x:c>
      <x:c r="I324" s="50" t="str">
        <x:v>child-famille-nombreuse-30</x:v>
      </x:c>
      <x:c r="J324" s="50" t="str">
        <x:v>amberieu-en-bugey|virieu-le-grand-belley</x:v>
      </x:c>
    </x:row>
    <x:row r="325">
      <x:c r="A325" s="50" t="str">
        <x:v>Ambérieu-en-Bugey</x:v>
      </x:c>
      <x:c r="B325" s="50" t="str">
        <x:v>Virieu-le-Grand – Belley</x:v>
      </x:c>
      <x:c r="C325" s="51" t="n">
        <x:v>39</x:v>
      </x:c>
      <x:c r="D325" s="50" t="str">
        <x:v>Enfant 4–11 ans</x:v>
      </x:c>
      <x:c r="E325" s="50" t="str">
        <x:v>Carte Familles Nombreuses (-40 %)</x:v>
      </x:c>
      <x:c r="F325" s="52" t="n">
        <x:v>2.6</x:v>
      </x:c>
      <x:c r="G325" s="52" t="n">
        <x:v>4.7</x:v>
      </x:c>
      <x:c r="H325" s="60" t="n">
        <x:f>G325-F325</x:f>
        <x:v>2.1</x:v>
      </x:c>
      <x:c r="I325" s="50" t="str">
        <x:v>child-famille-nombreuse-40</x:v>
      </x:c>
      <x:c r="J325" s="50" t="str">
        <x:v>amberieu-en-bugey|virieu-le-grand-belley</x:v>
      </x:c>
    </x:row>
    <x:row r="326">
      <x:c r="A326" s="50" t="str">
        <x:v>Ambérieu-en-Bugey</x:v>
      </x:c>
      <x:c r="B326" s="50" t="str">
        <x:v>Virieu-le-Grand – Belley</x:v>
      </x:c>
      <x:c r="C326" s="51" t="n">
        <x:v>39</x:v>
      </x:c>
      <x:c r="D326" s="50" t="str">
        <x:v>Enfant 4–11 ans</x:v>
      </x:c>
      <x:c r="E326" s="50" t="str">
        <x:v>Carte Familles Nombreuses (-50 %)</x:v>
      </x:c>
      <x:c r="F326" s="52" t="n">
        <x:v>2.2</x:v>
      </x:c>
      <x:c r="G326" s="52" t="n">
        <x:v>4.3</x:v>
      </x:c>
      <x:c r="H326" s="60" t="n">
        <x:f>G326-F326</x:f>
        <x:v>2.0999999999999996</x:v>
      </x:c>
      <x:c r="I326" s="50" t="str">
        <x:v>child-famille-nombreuse-50</x:v>
      </x:c>
      <x:c r="J326" s="50" t="str">
        <x:v>amberieu-en-bugey|virieu-le-grand-belley</x:v>
      </x:c>
    </x:row>
    <x:row r="327">
      <x:c r="A327" s="50" t="str">
        <x:v>Ambérieu-en-Bugey</x:v>
      </x:c>
      <x:c r="B327" s="50" t="str">
        <x:v>Virieu-le-Grand – Belley</x:v>
      </x:c>
      <x:c r="C327" s="51" t="n">
        <x:v>39</x:v>
      </x:c>
      <x:c r="D327" s="50" t="str">
        <x:v>Enfant 4–11 ans</x:v>
      </x:c>
      <x:c r="E327" s="50" t="str">
        <x:v>Carte Familles Nombreuses (-75 %)</x:v>
      </x:c>
      <x:c r="F327" s="52" t="n">
        <x:v>1.2</x:v>
      </x:c>
      <x:c r="G327" s="52" t="n">
        <x:v>3.2</x:v>
      </x:c>
      <x:c r="H327" s="60" t="n">
        <x:f>G327-F327</x:f>
        <x:v>2</x:v>
      </x:c>
      <x:c r="I327" s="50" t="str">
        <x:v>child-famille-nombreuse-75</x:v>
      </x:c>
      <x:c r="J327" s="50" t="str">
        <x:v>amberieu-en-bugey|virieu-le-grand-belley</x:v>
      </x:c>
    </x:row>
    <x:row r="328">
      <x:c r="A328" s="50" t="str">
        <x:v>Ambérieu-en-Bugey</x:v>
      </x:c>
      <x:c r="B328" s="50" t="str">
        <x:v>Culoz</x:v>
      </x:c>
      <x:c r="C328" s="51" t="n">
        <x:v>50</x:v>
      </x:c>
      <x:c r="D328" s="50" t="str">
        <x:v>Adulte</x:v>
      </x:c>
      <x:c r="E328" s="50" t="str">
        <x:v>Aucune — Plein tarif</x:v>
      </x:c>
      <x:c r="F328" s="52" t="n">
        <x:v>12.8</x:v>
      </x:c>
      <x:c r="G328" s="52" t="n">
        <x:v>19.4</x:v>
      </x:c>
      <x:c r="H328" s="60" t="n">
        <x:f>G328-F328</x:f>
        <x:v>6.599999999999998</x:v>
      </x:c>
      <x:c r="I328" s="50" t="str">
        <x:v>adult-none</x:v>
      </x:c>
      <x:c r="J328" s="50" t="str">
        <x:v>amberieu-en-bugey|culoz</x:v>
      </x:c>
    </x:row>
    <x:row r="329">
      <x:c r="A329" s="50" t="str">
        <x:v>Ambérieu-en-Bugey</x:v>
      </x:c>
      <x:c r="B329" s="50" t="str">
        <x:v>Culoz</x:v>
      </x:c>
      <x:c r="C329" s="51" t="n">
        <x:v>50</x:v>
      </x:c>
      <x:c r="D329" s="50" t="str">
        <x:v>Adulte</x:v>
      </x:c>
      <x:c r="E329" s="50" t="str">
        <x:v>illico LIBERTÉ — Semaine (-25 %)</x:v>
      </x:c>
      <x:c r="F329" s="52" t="n">
        <x:v>9.6</x:v>
      </x:c>
      <x:c r="G329" s="52" t="n">
        <x:v>14.6</x:v>
      </x:c>
      <x:c r="H329" s="60" t="n">
        <x:f>G329-F329</x:f>
        <x:v>5</x:v>
      </x:c>
      <x:c r="I329" s="50" t="str">
        <x:v>adult-illico-liberte-weekday</x:v>
      </x:c>
      <x:c r="J329" s="50" t="str">
        <x:v>amberieu-en-bugey|culoz</x:v>
      </x:c>
    </x:row>
    <x:row r="330">
      <x:c r="A330" s="50" t="str">
        <x:v>Ambérieu-en-Bugey</x:v>
      </x:c>
      <x:c r="B330" s="50" t="str">
        <x:v>Culoz</x:v>
      </x:c>
      <x:c r="C330" s="51" t="n">
        <x:v>50</x:v>
      </x:c>
      <x:c r="D330" s="50" t="str">
        <x:v>Adulte</x:v>
      </x:c>
      <x:c r="E330" s="50" t="str">
        <x:v>illico LIBERTÉ — Week-end / Jour férié (-50 %)</x:v>
      </x:c>
      <x:c r="F330" s="52" t="n">
        <x:v>6.4</x:v>
      </x:c>
      <x:c r="G330" s="52" t="n">
        <x:v>9.7</x:v>
      </x:c>
      <x:c r="H330" s="60" t="n">
        <x:f>G330-F330</x:f>
        <x:v>3.299999999999999</x:v>
      </x:c>
      <x:c r="I330" s="50" t="str">
        <x:v>adult-illico-liberte-weekend</x:v>
      </x:c>
      <x:c r="J330" s="50" t="str">
        <x:v>amberieu-en-bugey|culoz</x:v>
      </x:c>
    </x:row>
    <x:row r="331">
      <x:c r="A331" s="50" t="str">
        <x:v>Ambérieu-en-Bugey</x:v>
      </x:c>
      <x:c r="B331" s="50" t="str">
        <x:v>Culoz</x:v>
      </x:c>
      <x:c r="C331" s="51" t="n">
        <x:v>50</x:v>
      </x:c>
      <x:c r="D331" s="50" t="str">
        <x:v>Adulte</x:v>
      </x:c>
      <x:c r="E331" s="50" t="str">
        <x:v>illico LIBERTÉ — Accompagnant, Week-end / Jour férié (-50 %)</x:v>
      </x:c>
      <x:c r="F331" s="52" t="n">
        <x:v>6.4</x:v>
      </x:c>
      <x:c r="G331" s="52" t="n">
        <x:v>9.7</x:v>
      </x:c>
      <x:c r="H331" s="60" t="n">
        <x:f>G331-F331</x:f>
        <x:v>3.299999999999999</x:v>
      </x:c>
      <x:c r="I331" s="50" t="str">
        <x:v>adult-illico-liberte-weekend-companion</x:v>
      </x:c>
      <x:c r="J331" s="50" t="str">
        <x:v>amberieu-en-bugey|culoz</x:v>
      </x:c>
    </x:row>
    <x:row r="332">
      <x:c r="A332" s="50" t="str">
        <x:v>Ambérieu-en-Bugey</x:v>
      </x:c>
      <x:c r="B332" s="50" t="str">
        <x:v>Culoz</x:v>
      </x:c>
      <x:c r="C332" s="51" t="n">
        <x:v>50</x:v>
      </x:c>
      <x:c r="D332" s="50" t="str">
        <x:v>Adulte</x:v>
      </x:c>
      <x:c r="E332" s="50" t="str">
        <x:v>illico LIBERTÉ JEUNES (-50 %)</x:v>
      </x:c>
      <x:c r="F332" s="52" t="n">
        <x:v>6.4</x:v>
      </x:c>
      <x:c r="G332" s="52" t="n">
        <x:v>9.7</x:v>
      </x:c>
      <x:c r="H332" s="60" t="n">
        <x:f>G332-F332</x:f>
        <x:v>3.299999999999999</x:v>
      </x:c>
      <x:c r="I332" s="50" t="str">
        <x:v>adult-illico-jeunes</x:v>
      </x:c>
      <x:c r="J332" s="50" t="str">
        <x:v>amberieu-en-bugey|culoz</x:v>
      </x:c>
    </x:row>
    <x:row r="333">
      <x:c r="A333" s="50" t="str">
        <x:v>Ambérieu-en-Bugey</x:v>
      </x:c>
      <x:c r="B333" s="50" t="str">
        <x:v>Culoz</x:v>
      </x:c>
      <x:c r="C333" s="51" t="n">
        <x:v>50</x:v>
      </x:c>
      <x:c r="D333" s="50" t="str">
        <x:v>Adulte</x:v>
      </x:c>
      <x:c r="E333" s="50" t="str">
        <x:v>Carte Liberté SNCF (-25 %)</x:v>
      </x:c>
      <x:c r="F333" s="52" t="n">
        <x:v>9.6</x:v>
      </x:c>
      <x:c r="G333" s="52" t="n">
        <x:v>14.6</x:v>
      </x:c>
      <x:c r="H333" s="60" t="n">
        <x:f>G333-F333</x:f>
        <x:v>5</x:v>
      </x:c>
      <x:c r="I333" s="50" t="str">
        <x:v>adult-liberte-nationale</x:v>
      </x:c>
      <x:c r="J333" s="50" t="str">
        <x:v>amberieu-en-bugey|culoz</x:v>
      </x:c>
    </x:row>
    <x:row r="334">
      <x:c r="A334" s="50" t="str">
        <x:v>Ambérieu-en-Bugey</x:v>
      </x:c>
      <x:c r="B334" s="50" t="str">
        <x:v>Culoz</x:v>
      </x:c>
      <x:c r="C334" s="51" t="n">
        <x:v>50</x:v>
      </x:c>
      <x:c r="D334" s="50" t="str">
        <x:v>Adulte</x:v>
      </x:c>
      <x:c r="E334" s="50" t="str">
        <x:v>Carte Familles Nombreuses (-30 %)</x:v>
      </x:c>
      <x:c r="F334" s="52" t="n">
        <x:v>7.3</x:v>
      </x:c>
      <x:c r="G334" s="52" t="n">
        <x:v>12.5</x:v>
      </x:c>
      <x:c r="H334" s="60" t="n">
        <x:f>G334-F334</x:f>
        <x:v>5.2</x:v>
      </x:c>
      <x:c r="I334" s="50" t="str">
        <x:v>adult-famille-nombreuse-30</x:v>
      </x:c>
      <x:c r="J334" s="50" t="str">
        <x:v>amberieu-en-bugey|culoz</x:v>
      </x:c>
    </x:row>
    <x:row r="335">
      <x:c r="A335" s="50" t="str">
        <x:v>Ambérieu-en-Bugey</x:v>
      </x:c>
      <x:c r="B335" s="50" t="str">
        <x:v>Culoz</x:v>
      </x:c>
      <x:c r="C335" s="51" t="n">
        <x:v>50</x:v>
      </x:c>
      <x:c r="D335" s="50" t="str">
        <x:v>Adulte</x:v>
      </x:c>
      <x:c r="E335" s="50" t="str">
        <x:v>Carte Familles Nombreuses (-40 %)</x:v>
      </x:c>
      <x:c r="F335" s="52" t="n">
        <x:v>6.3</x:v>
      </x:c>
      <x:c r="G335" s="52" t="n">
        <x:v>11.5</x:v>
      </x:c>
      <x:c r="H335" s="60" t="n">
        <x:f>G335-F335</x:f>
        <x:v>5.2</x:v>
      </x:c>
      <x:c r="I335" s="50" t="str">
        <x:v>adult-famille-nombreuse-40</x:v>
      </x:c>
      <x:c r="J335" s="50" t="str">
        <x:v>amberieu-en-bugey|culoz</x:v>
      </x:c>
    </x:row>
    <x:row r="336">
      <x:c r="A336" s="50" t="str">
        <x:v>Ambérieu-en-Bugey</x:v>
      </x:c>
      <x:c r="B336" s="50" t="str">
        <x:v>Culoz</x:v>
      </x:c>
      <x:c r="C336" s="51" t="n">
        <x:v>50</x:v>
      </x:c>
      <x:c r="D336" s="50" t="str">
        <x:v>Adulte</x:v>
      </x:c>
      <x:c r="E336" s="50" t="str">
        <x:v>Carte Familles Nombreuses (-50 %)</x:v>
      </x:c>
      <x:c r="F336" s="52" t="n">
        <x:v>5.2</x:v>
      </x:c>
      <x:c r="G336" s="52" t="n">
        <x:v>10.4</x:v>
      </x:c>
      <x:c r="H336" s="60" t="n">
        <x:f>G336-F336</x:f>
        <x:v>5.2</x:v>
      </x:c>
      <x:c r="I336" s="50" t="str">
        <x:v>adult-famille-nombreuse-50</x:v>
      </x:c>
      <x:c r="J336" s="50" t="str">
        <x:v>amberieu-en-bugey|culoz</x:v>
      </x:c>
    </x:row>
    <x:row r="337">
      <x:c r="A337" s="50" t="str">
        <x:v>Ambérieu-en-Bugey</x:v>
      </x:c>
      <x:c r="B337" s="50" t="str">
        <x:v>Culoz</x:v>
      </x:c>
      <x:c r="C337" s="51" t="n">
        <x:v>50</x:v>
      </x:c>
      <x:c r="D337" s="50" t="str">
        <x:v>Adulte</x:v>
      </x:c>
      <x:c r="E337" s="50" t="str">
        <x:v>Carte Familles Nombreuses (-75 %)</x:v>
      </x:c>
      <x:c r="F337" s="52" t="n">
        <x:v>2.6</x:v>
      </x:c>
      <x:c r="G337" s="52" t="n">
        <x:v>7.8</x:v>
      </x:c>
      <x:c r="H337" s="60" t="n">
        <x:f>G337-F337</x:f>
        <x:v>5.199999999999999</x:v>
      </x:c>
      <x:c r="I337" s="50" t="str">
        <x:v>adult-famille-nombreuse-75</x:v>
      </x:c>
      <x:c r="J337" s="50" t="str">
        <x:v>amberieu-en-bugey|culoz</x:v>
      </x:c>
    </x:row>
    <x:row r="338">
      <x:c r="A338" s="50" t="str">
        <x:v>Ambérieu-en-Bugey</x:v>
      </x:c>
      <x:c r="B338" s="50" t="str">
        <x:v>Culoz</x:v>
      </x:c>
      <x:c r="C338" s="51" t="n">
        <x:v>50</x:v>
      </x:c>
      <x:c r="D338" s="50" t="str">
        <x:v>Adulte</x:v>
      </x:c>
      <x:c r="E338" s="50" t="str">
        <x:v>Carte Militaire (-75 %)</x:v>
      </x:c>
      <x:c r="F338" s="52" t="n">
        <x:v>2.6</x:v>
      </x:c>
      <x:c r="G338" s="52" t="n">
        <x:v>7.8</x:v>
      </x:c>
      <x:c r="H338" s="60" t="n">
        <x:f>G338-F338</x:f>
        <x:v>5.199999999999999</x:v>
      </x:c>
      <x:c r="I338" s="50" t="str">
        <x:v>adult-military</x:v>
      </x:c>
      <x:c r="J338" s="50" t="str">
        <x:v>amberieu-en-bugey|culoz</x:v>
      </x:c>
    </x:row>
    <x:row r="339">
      <x:c r="A339" s="50" t="str">
        <x:v>Ambérieu-en-Bugey</x:v>
      </x:c>
      <x:c r="B339" s="50" t="str">
        <x:v>Culoz</x:v>
      </x:c>
      <x:c r="C339" s="51" t="n">
        <x:v>50</x:v>
      </x:c>
      <x:c r="D339" s="50" t="str">
        <x:v>Adulte</x:v>
      </x:c>
      <x:c r="E339" s="50" t="str">
        <x:v>Carte Famille Militaire (-40 %)</x:v>
      </x:c>
      <x:c r="F339" s="52" t="n">
        <x:v>7.7</x:v>
      </x:c>
      <x:c r="G339" s="52" t="n">
        <x:v>11.7</x:v>
      </x:c>
      <x:c r="H339" s="60" t="n">
        <x:f>G339-F339</x:f>
        <x:v>3.999999999999999</x:v>
      </x:c>
      <x:c r="I339" s="50" t="str">
        <x:v>adult-family-military</x:v>
      </x:c>
      <x:c r="J339" s="50" t="str">
        <x:v>amberieu-en-bugey|culoz</x:v>
      </x:c>
    </x:row>
    <x:row r="340">
      <x:c r="A340" s="50" t="str">
        <x:v>Ambérieu-en-Bugey</x:v>
      </x:c>
      <x:c r="B340" s="50" t="str">
        <x:v>Culoz</x:v>
      </x:c>
      <x:c r="C340" s="51" t="n">
        <x:v>50</x:v>
      </x:c>
      <x:c r="D340" s="50" t="str">
        <x:v>Enfant 4–11 ans</x:v>
      </x:c>
      <x:c r="E340" s="50" t="str">
        <x:v>Aucune — Tarif Enfant 4–11 ans</x:v>
      </x:c>
      <x:c r="F340" s="52" t="n">
        <x:v>6.4</x:v>
      </x:c>
      <x:c r="G340" s="52" t="n">
        <x:v>9.7</x:v>
      </x:c>
      <x:c r="H340" s="60" t="n">
        <x:f>G340-F340</x:f>
        <x:v>3.299999999999999</x:v>
      </x:c>
      <x:c r="I340" s="50" t="str">
        <x:v>child-none</x:v>
      </x:c>
      <x:c r="J340" s="50" t="str">
        <x:v>amberieu-en-bugey|culoz</x:v>
      </x:c>
    </x:row>
    <x:row r="341">
      <x:c r="A341" s="50" t="str">
        <x:v>Ambérieu-en-Bugey</x:v>
      </x:c>
      <x:c r="B341" s="50" t="str">
        <x:v>Culoz</x:v>
      </x:c>
      <x:c r="C341" s="51" t="n">
        <x:v>50</x:v>
      </x:c>
      <x:c r="D341" s="50" t="str">
        <x:v>Enfant 4–11 ans</x:v>
      </x:c>
      <x:c r="E341" s="50" t="str">
        <x:v>illico LIBERTÉ — Accompagnant, Week-end / Jour férié</x:v>
      </x:c>
      <x:c r="F341" s="52" t="n">
        <x:v>3.2</x:v>
      </x:c>
      <x:c r="G341" s="52" t="n">
        <x:v>4.9</x:v>
      </x:c>
      <x:c r="H341" s="60" t="n">
        <x:f>G341-F341</x:f>
        <x:v>1.7000000000000002</x:v>
      </x:c>
      <x:c r="I341" s="50" t="str">
        <x:v>child-illico-liberte-weekend-companion</x:v>
      </x:c>
      <x:c r="J341" s="50" t="str">
        <x:v>amberieu-en-bugey|culoz</x:v>
      </x:c>
    </x:row>
    <x:row r="342">
      <x:c r="A342" s="50" t="str">
        <x:v>Ambérieu-en-Bugey</x:v>
      </x:c>
      <x:c r="B342" s="50" t="str">
        <x:v>Culoz</x:v>
      </x:c>
      <x:c r="C342" s="51" t="n">
        <x:v>50</x:v>
      </x:c>
      <x:c r="D342" s="50" t="str">
        <x:v>Enfant 4–11 ans</x:v>
      </x:c>
      <x:c r="E342" s="50" t="str">
        <x:v>Carte Famille Militaire</x:v>
      </x:c>
      <x:c r="F342" s="52" t="n">
        <x:v>3.9</x:v>
      </x:c>
      <x:c r="G342" s="52" t="n">
        <x:v>5.9</x:v>
      </x:c>
      <x:c r="H342" s="60" t="n">
        <x:f>G342-F342</x:f>
        <x:v>2.0000000000000004</x:v>
      </x:c>
      <x:c r="I342" s="50" t="str">
        <x:v>child-family-military</x:v>
      </x:c>
      <x:c r="J342" s="50" t="str">
        <x:v>amberieu-en-bugey|culoz</x:v>
      </x:c>
    </x:row>
    <x:row r="343">
      <x:c r="A343" s="50" t="str">
        <x:v>Ambérieu-en-Bugey</x:v>
      </x:c>
      <x:c r="B343" s="50" t="str">
        <x:v>Culoz</x:v>
      </x:c>
      <x:c r="C343" s="51" t="n">
        <x:v>50</x:v>
      </x:c>
      <x:c r="D343" s="50" t="str">
        <x:v>Enfant 4–11 ans</x:v>
      </x:c>
      <x:c r="E343" s="50" t="str">
        <x:v>Carte Familles Nombreuses (-30 %)</x:v>
      </x:c>
      <x:c r="F343" s="52" t="n">
        <x:v>3.7</x:v>
      </x:c>
      <x:c r="G343" s="52" t="n">
        <x:v>6.3</x:v>
      </x:c>
      <x:c r="H343" s="60" t="n">
        <x:f>G343-F343</x:f>
        <x:v>2.5999999999999996</x:v>
      </x:c>
      <x:c r="I343" s="50" t="str">
        <x:v>child-famille-nombreuse-30</x:v>
      </x:c>
      <x:c r="J343" s="50" t="str">
        <x:v>amberieu-en-bugey|culoz</x:v>
      </x:c>
    </x:row>
    <x:row r="344">
      <x:c r="A344" s="50" t="str">
        <x:v>Ambérieu-en-Bugey</x:v>
      </x:c>
      <x:c r="B344" s="50" t="str">
        <x:v>Culoz</x:v>
      </x:c>
      <x:c r="C344" s="51" t="n">
        <x:v>50</x:v>
      </x:c>
      <x:c r="D344" s="50" t="str">
        <x:v>Enfant 4–11 ans</x:v>
      </x:c>
      <x:c r="E344" s="50" t="str">
        <x:v>Carte Familles Nombreuses (-40 %)</x:v>
      </x:c>
      <x:c r="F344" s="52" t="n">
        <x:v>3.2</x:v>
      </x:c>
      <x:c r="G344" s="52" t="n">
        <x:v>5.8</x:v>
      </x:c>
      <x:c r="H344" s="60" t="n">
        <x:f>G344-F344</x:f>
        <x:v>2.5999999999999996</x:v>
      </x:c>
      <x:c r="I344" s="50" t="str">
        <x:v>child-famille-nombreuse-40</x:v>
      </x:c>
      <x:c r="J344" s="50" t="str">
        <x:v>amberieu-en-bugey|culoz</x:v>
      </x:c>
    </x:row>
    <x:row r="345">
      <x:c r="A345" s="50" t="str">
        <x:v>Ambérieu-en-Bugey</x:v>
      </x:c>
      <x:c r="B345" s="50" t="str">
        <x:v>Culoz</x:v>
      </x:c>
      <x:c r="C345" s="51" t="n">
        <x:v>50</x:v>
      </x:c>
      <x:c r="D345" s="50" t="str">
        <x:v>Enfant 4–11 ans</x:v>
      </x:c>
      <x:c r="E345" s="50" t="str">
        <x:v>Carte Familles Nombreuses (-50 %)</x:v>
      </x:c>
      <x:c r="F345" s="52" t="n">
        <x:v>2.6</x:v>
      </x:c>
      <x:c r="G345" s="52" t="n">
        <x:v>5.2</x:v>
      </x:c>
      <x:c r="H345" s="60" t="n">
        <x:f>G345-F345</x:f>
        <x:v>2.6</x:v>
      </x:c>
      <x:c r="I345" s="50" t="str">
        <x:v>child-famille-nombreuse-50</x:v>
      </x:c>
      <x:c r="J345" s="50" t="str">
        <x:v>amberieu-en-bugey|culoz</x:v>
      </x:c>
    </x:row>
    <x:row r="346">
      <x:c r="A346" s="50" t="str">
        <x:v>Ambérieu-en-Bugey</x:v>
      </x:c>
      <x:c r="B346" s="50" t="str">
        <x:v>Culoz</x:v>
      </x:c>
      <x:c r="C346" s="51" t="n">
        <x:v>50</x:v>
      </x:c>
      <x:c r="D346" s="50" t="str">
        <x:v>Enfant 4–11 ans</x:v>
      </x:c>
      <x:c r="E346" s="50" t="str">
        <x:v>Carte Familles Nombreuses (-75 %)</x:v>
      </x:c>
      <x:c r="F346" s="52" t="n">
        <x:v>1.3</x:v>
      </x:c>
      <x:c r="G346" s="52" t="n">
        <x:v>3.9</x:v>
      </x:c>
      <x:c r="H346" s="60" t="n">
        <x:f>G346-F346</x:f>
        <x:v>2.5999999999999996</x:v>
      </x:c>
      <x:c r="I346" s="50" t="str">
        <x:v>child-famille-nombreuse-75</x:v>
      </x:c>
      <x:c r="J346" s="50" t="str">
        <x:v>amberieu-en-bugey|culoz</x:v>
      </x:c>
    </x:row>
    <x:row r="347">
      <x:c r="A347" s="50" t="str">
        <x:v>Ambérieu-en-Bugey</x:v>
      </x:c>
      <x:c r="B347" s="50" t="str">
        <x:v>Seyssel – Corbonod</x:v>
      </x:c>
      <x:c r="C347" s="51" t="n">
        <x:v>65</x:v>
      </x:c>
      <x:c r="D347" s="50" t="str">
        <x:v>Adulte</x:v>
      </x:c>
      <x:c r="E347" s="50" t="str">
        <x:v>Aucune — Plein tarif</x:v>
      </x:c>
      <x:c r="F347" s="52" t="n">
        <x:v>16</x:v>
      </x:c>
      <x:c r="G347" s="52" t="n">
        <x:v>24.2</x:v>
      </x:c>
      <x:c r="H347" s="60" t="n">
        <x:f>G347-F347</x:f>
        <x:v>8.2</x:v>
      </x:c>
      <x:c r="I347" s="50" t="str">
        <x:v>adult-none</x:v>
      </x:c>
      <x:c r="J347" s="50" t="str">
        <x:v>amberieu-en-bugey|seyssel-corbonod</x:v>
      </x:c>
    </x:row>
    <x:row r="348">
      <x:c r="A348" s="50" t="str">
        <x:v>Ambérieu-en-Bugey</x:v>
      </x:c>
      <x:c r="B348" s="50" t="str">
        <x:v>Seyssel – Corbonod</x:v>
      </x:c>
      <x:c r="C348" s="51" t="n">
        <x:v>65</x:v>
      </x:c>
      <x:c r="D348" s="50" t="str">
        <x:v>Adulte</x:v>
      </x:c>
      <x:c r="E348" s="50" t="str">
        <x:v>illico LIBERTÉ — Semaine (-25 %)</x:v>
      </x:c>
      <x:c r="F348" s="52" t="n">
        <x:v>12</x:v>
      </x:c>
      <x:c r="G348" s="52" t="n">
        <x:v>18.2</x:v>
      </x:c>
      <x:c r="H348" s="60" t="n">
        <x:f>G348-F348</x:f>
        <x:v>6.199999999999999</x:v>
      </x:c>
      <x:c r="I348" s="50" t="str">
        <x:v>adult-illico-liberte-weekday</x:v>
      </x:c>
      <x:c r="J348" s="50" t="str">
        <x:v>amberieu-en-bugey|seyssel-corbonod</x:v>
      </x:c>
    </x:row>
    <x:row r="349">
      <x:c r="A349" s="50" t="str">
        <x:v>Ambérieu-en-Bugey</x:v>
      </x:c>
      <x:c r="B349" s="50" t="str">
        <x:v>Seyssel – Corbonod</x:v>
      </x:c>
      <x:c r="C349" s="51" t="n">
        <x:v>65</x:v>
      </x:c>
      <x:c r="D349" s="50" t="str">
        <x:v>Adulte</x:v>
      </x:c>
      <x:c r="E349" s="50" t="str">
        <x:v>illico LIBERTÉ — Week-end / Jour férié (-50 %)</x:v>
      </x:c>
      <x:c r="F349" s="52" t="n">
        <x:v>8</x:v>
      </x:c>
      <x:c r="G349" s="52" t="n">
        <x:v>12.1</x:v>
      </x:c>
      <x:c r="H349" s="60" t="n">
        <x:f>G349-F349</x:f>
        <x:v>4.1</x:v>
      </x:c>
      <x:c r="I349" s="50" t="str">
        <x:v>adult-illico-liberte-weekend</x:v>
      </x:c>
      <x:c r="J349" s="50" t="str">
        <x:v>amberieu-en-bugey|seyssel-corbonod</x:v>
      </x:c>
    </x:row>
    <x:row r="350">
      <x:c r="A350" s="50" t="str">
        <x:v>Ambérieu-en-Bugey</x:v>
      </x:c>
      <x:c r="B350" s="50" t="str">
        <x:v>Seyssel – Corbonod</x:v>
      </x:c>
      <x:c r="C350" s="51" t="n">
        <x:v>65</x:v>
      </x:c>
      <x:c r="D350" s="50" t="str">
        <x:v>Adulte</x:v>
      </x:c>
      <x:c r="E350" s="50" t="str">
        <x:v>illico LIBERTÉ — Accompagnant, Week-end / Jour férié (-50 %)</x:v>
      </x:c>
      <x:c r="F350" s="52" t="n">
        <x:v>8</x:v>
      </x:c>
      <x:c r="G350" s="52" t="n">
        <x:v>12.1</x:v>
      </x:c>
      <x:c r="H350" s="60" t="n">
        <x:f>G350-F350</x:f>
        <x:v>4.1</x:v>
      </x:c>
      <x:c r="I350" s="50" t="str">
        <x:v>adult-illico-liberte-weekend-companion</x:v>
      </x:c>
      <x:c r="J350" s="50" t="str">
        <x:v>amberieu-en-bugey|seyssel-corbonod</x:v>
      </x:c>
    </x:row>
    <x:row r="351">
      <x:c r="A351" s="50" t="str">
        <x:v>Ambérieu-en-Bugey</x:v>
      </x:c>
      <x:c r="B351" s="50" t="str">
        <x:v>Seyssel – Corbonod</x:v>
      </x:c>
      <x:c r="C351" s="51" t="n">
        <x:v>65</x:v>
      </x:c>
      <x:c r="D351" s="50" t="str">
        <x:v>Adulte</x:v>
      </x:c>
      <x:c r="E351" s="50" t="str">
        <x:v>illico LIBERTÉ JEUNES (-50 %)</x:v>
      </x:c>
      <x:c r="F351" s="52" t="n">
        <x:v>8</x:v>
      </x:c>
      <x:c r="G351" s="52" t="n">
        <x:v>12.1</x:v>
      </x:c>
      <x:c r="H351" s="60" t="n">
        <x:f>G351-F351</x:f>
        <x:v>4.1</x:v>
      </x:c>
      <x:c r="I351" s="50" t="str">
        <x:v>adult-illico-jeunes</x:v>
      </x:c>
      <x:c r="J351" s="50" t="str">
        <x:v>amberieu-en-bugey|seyssel-corbonod</x:v>
      </x:c>
    </x:row>
    <x:row r="352">
      <x:c r="A352" s="50" t="str">
        <x:v>Ambérieu-en-Bugey</x:v>
      </x:c>
      <x:c r="B352" s="50" t="str">
        <x:v>Seyssel – Corbonod</x:v>
      </x:c>
      <x:c r="C352" s="51" t="n">
        <x:v>65</x:v>
      </x:c>
      <x:c r="D352" s="50" t="str">
        <x:v>Adulte</x:v>
      </x:c>
      <x:c r="E352" s="50" t="str">
        <x:v>Carte Liberté SNCF (-25 %)</x:v>
      </x:c>
      <x:c r="F352" s="52" t="n">
        <x:v>12</x:v>
      </x:c>
      <x:c r="G352" s="52" t="n">
        <x:v>18.2</x:v>
      </x:c>
      <x:c r="H352" s="60" t="n">
        <x:f>G352-F352</x:f>
        <x:v>6.199999999999999</x:v>
      </x:c>
      <x:c r="I352" s="50" t="str">
        <x:v>adult-liberte-nationale</x:v>
      </x:c>
      <x:c r="J352" s="50" t="str">
        <x:v>amberieu-en-bugey|seyssel-corbonod</x:v>
      </x:c>
    </x:row>
    <x:row r="353">
      <x:c r="A353" s="50" t="str">
        <x:v>Ambérieu-en-Bugey</x:v>
      </x:c>
      <x:c r="B353" s="50" t="str">
        <x:v>Seyssel – Corbonod</x:v>
      </x:c>
      <x:c r="C353" s="51" t="n">
        <x:v>65</x:v>
      </x:c>
      <x:c r="D353" s="50" t="str">
        <x:v>Adulte</x:v>
      </x:c>
      <x:c r="E353" s="50" t="str">
        <x:v>Carte Familles Nombreuses (-30 %)</x:v>
      </x:c>
      <x:c r="F353" s="52" t="n">
        <x:v>9.1</x:v>
      </x:c>
      <x:c r="G353" s="52" t="n">
        <x:v>15.5</x:v>
      </x:c>
      <x:c r="H353" s="60" t="n">
        <x:f>G353-F353</x:f>
        <x:v>6.4</x:v>
      </x:c>
      <x:c r="I353" s="50" t="str">
        <x:v>adult-famille-nombreuse-30</x:v>
      </x:c>
      <x:c r="J353" s="50" t="str">
        <x:v>amberieu-en-bugey|seyssel-corbonod</x:v>
      </x:c>
    </x:row>
    <x:row r="354">
      <x:c r="A354" s="50" t="str">
        <x:v>Ambérieu-en-Bugey</x:v>
      </x:c>
      <x:c r="B354" s="50" t="str">
        <x:v>Seyssel – Corbonod</x:v>
      </x:c>
      <x:c r="C354" s="51" t="n">
        <x:v>65</x:v>
      </x:c>
      <x:c r="D354" s="50" t="str">
        <x:v>Adulte</x:v>
      </x:c>
      <x:c r="E354" s="50" t="str">
        <x:v>Carte Familles Nombreuses (-40 %)</x:v>
      </x:c>
      <x:c r="F354" s="52" t="n">
        <x:v>7.8</x:v>
      </x:c>
      <x:c r="G354" s="52" t="n">
        <x:v>14.2</x:v>
      </x:c>
      <x:c r="H354" s="60" t="n">
        <x:f>G354-F354</x:f>
        <x:v>6.3999999999999995</x:v>
      </x:c>
      <x:c r="I354" s="50" t="str">
        <x:v>adult-famille-nombreuse-40</x:v>
      </x:c>
      <x:c r="J354" s="50" t="str">
        <x:v>amberieu-en-bugey|seyssel-corbonod</x:v>
      </x:c>
    </x:row>
    <x:row r="355">
      <x:c r="A355" s="50" t="str">
        <x:v>Ambérieu-en-Bugey</x:v>
      </x:c>
      <x:c r="B355" s="50" t="str">
        <x:v>Seyssel – Corbonod</x:v>
      </x:c>
      <x:c r="C355" s="51" t="n">
        <x:v>65</x:v>
      </x:c>
      <x:c r="D355" s="50" t="str">
        <x:v>Adulte</x:v>
      </x:c>
      <x:c r="E355" s="50" t="str">
        <x:v>Carte Familles Nombreuses (-50 %)</x:v>
      </x:c>
      <x:c r="F355" s="52" t="n">
        <x:v>6.5</x:v>
      </x:c>
      <x:c r="G355" s="52" t="n">
        <x:v>12.9</x:v>
      </x:c>
      <x:c r="H355" s="60" t="n">
        <x:f>G355-F355</x:f>
        <x:v>6.4</x:v>
      </x:c>
      <x:c r="I355" s="50" t="str">
        <x:v>adult-famille-nombreuse-50</x:v>
      </x:c>
      <x:c r="J355" s="50" t="str">
        <x:v>amberieu-en-bugey|seyssel-corbonod</x:v>
      </x:c>
    </x:row>
    <x:row r="356">
      <x:c r="A356" s="50" t="str">
        <x:v>Ambérieu-en-Bugey</x:v>
      </x:c>
      <x:c r="B356" s="50" t="str">
        <x:v>Seyssel – Corbonod</x:v>
      </x:c>
      <x:c r="C356" s="51" t="n">
        <x:v>65</x:v>
      </x:c>
      <x:c r="D356" s="50" t="str">
        <x:v>Adulte</x:v>
      </x:c>
      <x:c r="E356" s="50" t="str">
        <x:v>Carte Familles Nombreuses (-75 %)</x:v>
      </x:c>
      <x:c r="F356" s="52" t="n">
        <x:v>3.3</x:v>
      </x:c>
      <x:c r="G356" s="52" t="n">
        <x:v>9.7</x:v>
      </x:c>
      <x:c r="H356" s="60" t="n">
        <x:f>G356-F356</x:f>
        <x:v>6.3999999999999995</x:v>
      </x:c>
      <x:c r="I356" s="50" t="str">
        <x:v>adult-famille-nombreuse-75</x:v>
      </x:c>
      <x:c r="J356" s="50" t="str">
        <x:v>amberieu-en-bugey|seyssel-corbonod</x:v>
      </x:c>
    </x:row>
    <x:row r="357">
      <x:c r="A357" s="50" t="str">
        <x:v>Ambérieu-en-Bugey</x:v>
      </x:c>
      <x:c r="B357" s="50" t="str">
        <x:v>Seyssel – Corbonod</x:v>
      </x:c>
      <x:c r="C357" s="51" t="n">
        <x:v>65</x:v>
      </x:c>
      <x:c r="D357" s="50" t="str">
        <x:v>Adulte</x:v>
      </x:c>
      <x:c r="E357" s="50" t="str">
        <x:v>Carte Militaire (-75 %)</x:v>
      </x:c>
      <x:c r="F357" s="52" t="n">
        <x:v>3.3</x:v>
      </x:c>
      <x:c r="G357" s="52" t="n">
        <x:v>9.7</x:v>
      </x:c>
      <x:c r="H357" s="60" t="n">
        <x:f>G357-F357</x:f>
        <x:v>6.3999999999999995</x:v>
      </x:c>
      <x:c r="I357" s="50" t="str">
        <x:v>adult-military</x:v>
      </x:c>
      <x:c r="J357" s="50" t="str">
        <x:v>amberieu-en-bugey|seyssel-corbonod</x:v>
      </x:c>
    </x:row>
    <x:row r="358">
      <x:c r="A358" s="50" t="str">
        <x:v>Ambérieu-en-Bugey</x:v>
      </x:c>
      <x:c r="B358" s="50" t="str">
        <x:v>Seyssel – Corbonod</x:v>
      </x:c>
      <x:c r="C358" s="51" t="n">
        <x:v>65</x:v>
      </x:c>
      <x:c r="D358" s="50" t="str">
        <x:v>Adulte</x:v>
      </x:c>
      <x:c r="E358" s="50" t="str">
        <x:v>Carte Famille Militaire (-40 %)</x:v>
      </x:c>
      <x:c r="F358" s="52" t="n">
        <x:v>9.6</x:v>
      </x:c>
      <x:c r="G358" s="52" t="n">
        <x:v>14.6</x:v>
      </x:c>
      <x:c r="H358" s="60" t="n">
        <x:f>G358-F358</x:f>
        <x:v>5</x:v>
      </x:c>
      <x:c r="I358" s="50" t="str">
        <x:v>adult-family-military</x:v>
      </x:c>
      <x:c r="J358" s="50" t="str">
        <x:v>amberieu-en-bugey|seyssel-corbonod</x:v>
      </x:c>
    </x:row>
    <x:row r="359">
      <x:c r="A359" s="50" t="str">
        <x:v>Ambérieu-en-Bugey</x:v>
      </x:c>
      <x:c r="B359" s="50" t="str">
        <x:v>Seyssel – Corbonod</x:v>
      </x:c>
      <x:c r="C359" s="51" t="n">
        <x:v>65</x:v>
      </x:c>
      <x:c r="D359" s="50" t="str">
        <x:v>Enfant 4–11 ans</x:v>
      </x:c>
      <x:c r="E359" s="50" t="str">
        <x:v>Aucune — Tarif Enfant 4–11 ans</x:v>
      </x:c>
      <x:c r="F359" s="52" t="n">
        <x:v>8</x:v>
      </x:c>
      <x:c r="G359" s="52" t="n">
        <x:v>12.1</x:v>
      </x:c>
      <x:c r="H359" s="60" t="n">
        <x:f>G359-F359</x:f>
        <x:v>4.1</x:v>
      </x:c>
      <x:c r="I359" s="50" t="str">
        <x:v>child-none</x:v>
      </x:c>
      <x:c r="J359" s="50" t="str">
        <x:v>amberieu-en-bugey|seyssel-corbonod</x:v>
      </x:c>
    </x:row>
    <x:row r="360">
      <x:c r="A360" s="50" t="str">
        <x:v>Ambérieu-en-Bugey</x:v>
      </x:c>
      <x:c r="B360" s="50" t="str">
        <x:v>Seyssel – Corbonod</x:v>
      </x:c>
      <x:c r="C360" s="51" t="n">
        <x:v>65</x:v>
      </x:c>
      <x:c r="D360" s="50" t="str">
        <x:v>Enfant 4–11 ans</x:v>
      </x:c>
      <x:c r="E360" s="50" t="str">
        <x:v>illico LIBERTÉ — Accompagnant, Week-end / Jour férié</x:v>
      </x:c>
      <x:c r="F360" s="52" t="n">
        <x:v>4</x:v>
      </x:c>
      <x:c r="G360" s="52" t="n">
        <x:v>6.1</x:v>
      </x:c>
      <x:c r="H360" s="60" t="n">
        <x:f>G360-F360</x:f>
        <x:v>2.0999999999999996</x:v>
      </x:c>
      <x:c r="I360" s="50" t="str">
        <x:v>child-illico-liberte-weekend-companion</x:v>
      </x:c>
      <x:c r="J360" s="50" t="str">
        <x:v>amberieu-en-bugey|seyssel-corbonod</x:v>
      </x:c>
    </x:row>
    <x:row r="361">
      <x:c r="A361" s="50" t="str">
        <x:v>Ambérieu-en-Bugey</x:v>
      </x:c>
      <x:c r="B361" s="50" t="str">
        <x:v>Seyssel – Corbonod</x:v>
      </x:c>
      <x:c r="C361" s="51" t="n">
        <x:v>65</x:v>
      </x:c>
      <x:c r="D361" s="50" t="str">
        <x:v>Enfant 4–11 ans</x:v>
      </x:c>
      <x:c r="E361" s="50" t="str">
        <x:v>Carte Famille Militaire</x:v>
      </x:c>
      <x:c r="F361" s="52" t="n">
        <x:v>4.8</x:v>
      </x:c>
      <x:c r="G361" s="52" t="n">
        <x:v>7.3</x:v>
      </x:c>
      <x:c r="H361" s="60" t="n">
        <x:f>G361-F361</x:f>
        <x:v>2.5</x:v>
      </x:c>
      <x:c r="I361" s="50" t="str">
        <x:v>child-family-military</x:v>
      </x:c>
      <x:c r="J361" s="50" t="str">
        <x:v>amberieu-en-bugey|seyssel-corbonod</x:v>
      </x:c>
    </x:row>
    <x:row r="362">
      <x:c r="A362" s="50" t="str">
        <x:v>Ambérieu-en-Bugey</x:v>
      </x:c>
      <x:c r="B362" s="50" t="str">
        <x:v>Seyssel – Corbonod</x:v>
      </x:c>
      <x:c r="C362" s="51" t="n">
        <x:v>65</x:v>
      </x:c>
      <x:c r="D362" s="50" t="str">
        <x:v>Enfant 4–11 ans</x:v>
      </x:c>
      <x:c r="E362" s="50" t="str">
        <x:v>Carte Familles Nombreuses (-30 %)</x:v>
      </x:c>
      <x:c r="F362" s="52" t="n">
        <x:v>4.6</x:v>
      </x:c>
      <x:c r="G362" s="52" t="n">
        <x:v>7.8</x:v>
      </x:c>
      <x:c r="H362" s="60" t="n">
        <x:f>G362-F362</x:f>
        <x:v>3.2</x:v>
      </x:c>
      <x:c r="I362" s="50" t="str">
        <x:v>child-famille-nombreuse-30</x:v>
      </x:c>
      <x:c r="J362" s="50" t="str">
        <x:v>amberieu-en-bugey|seyssel-corbonod</x:v>
      </x:c>
    </x:row>
    <x:row r="363">
      <x:c r="A363" s="50" t="str">
        <x:v>Ambérieu-en-Bugey</x:v>
      </x:c>
      <x:c r="B363" s="50" t="str">
        <x:v>Seyssel – Corbonod</x:v>
      </x:c>
      <x:c r="C363" s="51" t="n">
        <x:v>65</x:v>
      </x:c>
      <x:c r="D363" s="50" t="str">
        <x:v>Enfant 4–11 ans</x:v>
      </x:c>
      <x:c r="E363" s="50" t="str">
        <x:v>Carte Familles Nombreuses (-40 %)</x:v>
      </x:c>
      <x:c r="F363" s="52" t="n">
        <x:v>3.9</x:v>
      </x:c>
      <x:c r="G363" s="52" t="n">
        <x:v>7.1</x:v>
      </x:c>
      <x:c r="H363" s="60" t="n">
        <x:f>G363-F363</x:f>
        <x:v>3.1999999999999997</x:v>
      </x:c>
      <x:c r="I363" s="50" t="str">
        <x:v>child-famille-nombreuse-40</x:v>
      </x:c>
      <x:c r="J363" s="50" t="str">
        <x:v>amberieu-en-bugey|seyssel-corbonod</x:v>
      </x:c>
    </x:row>
    <x:row r="364">
      <x:c r="A364" s="50" t="str">
        <x:v>Ambérieu-en-Bugey</x:v>
      </x:c>
      <x:c r="B364" s="50" t="str">
        <x:v>Seyssel – Corbonod</x:v>
      </x:c>
      <x:c r="C364" s="51" t="n">
        <x:v>65</x:v>
      </x:c>
      <x:c r="D364" s="50" t="str">
        <x:v>Enfant 4–11 ans</x:v>
      </x:c>
      <x:c r="E364" s="50" t="str">
        <x:v>Carte Familles Nombreuses (-50 %)</x:v>
      </x:c>
      <x:c r="F364" s="52" t="n">
        <x:v>3.3</x:v>
      </x:c>
      <x:c r="G364" s="52" t="n">
        <x:v>6.5</x:v>
      </x:c>
      <x:c r="H364" s="60" t="n">
        <x:f>G364-F364</x:f>
        <x:v>3.2</x:v>
      </x:c>
      <x:c r="I364" s="50" t="str">
        <x:v>child-famille-nombreuse-50</x:v>
      </x:c>
      <x:c r="J364" s="50" t="str">
        <x:v>amberieu-en-bugey|seyssel-corbonod</x:v>
      </x:c>
    </x:row>
    <x:row r="365">
      <x:c r="A365" s="50" t="str">
        <x:v>Ambérieu-en-Bugey</x:v>
      </x:c>
      <x:c r="B365" s="50" t="str">
        <x:v>Seyssel – Corbonod</x:v>
      </x:c>
      <x:c r="C365" s="51" t="n">
        <x:v>65</x:v>
      </x:c>
      <x:c r="D365" s="50" t="str">
        <x:v>Enfant 4–11 ans</x:v>
      </x:c>
      <x:c r="E365" s="50" t="str">
        <x:v>Carte Familles Nombreuses (-75 %)</x:v>
      </x:c>
      <x:c r="F365" s="52" t="n">
        <x:v>1.7</x:v>
      </x:c>
      <x:c r="G365" s="52" t="n">
        <x:v>4.9</x:v>
      </x:c>
      <x:c r="H365" s="60" t="n">
        <x:f>G365-F365</x:f>
        <x:v>3.2</x:v>
      </x:c>
      <x:c r="I365" s="50" t="str">
        <x:v>child-famille-nombreuse-75</x:v>
      </x:c>
      <x:c r="J365" s="50" t="str">
        <x:v>amberieu-en-bugey|seyssel-corbonod</x:v>
      </x:c>
    </x:row>
    <x:row r="366">
      <x:c r="A366" s="50" t="str">
        <x:v>Ambérieu-en-Bugey</x:v>
      </x:c>
      <x:c r="B366" s="50" t="str">
        <x:v>Bellegarde-sur-Valserine</x:v>
      </x:c>
      <x:c r="C366" s="51" t="n">
        <x:v>84</x:v>
      </x:c>
      <x:c r="D366" s="50" t="str">
        <x:v>Adulte</x:v>
      </x:c>
      <x:c r="E366" s="50" t="str">
        <x:v>Aucune — Plein tarif</x:v>
      </x:c>
      <x:c r="F366" s="52" t="n">
        <x:v>19.3</x:v>
      </x:c>
      <x:c r="G366" s="52" t="n">
        <x:v>29.3</x:v>
      </x:c>
      <x:c r="H366" s="60" t="n">
        <x:f>G366-F366</x:f>
        <x:v>10</x:v>
      </x:c>
      <x:c r="I366" s="50" t="str">
        <x:v>adult-none</x:v>
      </x:c>
      <x:c r="J366" s="50" t="str">
        <x:v>amberieu-en-bugey|bellegarde-sur-valserine</x:v>
      </x:c>
    </x:row>
    <x:row r="367">
      <x:c r="A367" s="50" t="str">
        <x:v>Ambérieu-en-Bugey</x:v>
      </x:c>
      <x:c r="B367" s="50" t="str">
        <x:v>Bellegarde-sur-Valserine</x:v>
      </x:c>
      <x:c r="C367" s="51" t="n">
        <x:v>84</x:v>
      </x:c>
      <x:c r="D367" s="50" t="str">
        <x:v>Adulte</x:v>
      </x:c>
      <x:c r="E367" s="50" t="str">
        <x:v>illico LIBERTÉ — Semaine (-25 %)</x:v>
      </x:c>
      <x:c r="F367" s="52" t="n">
        <x:v>14.5</x:v>
      </x:c>
      <x:c r="G367" s="52" t="n">
        <x:v>22</x:v>
      </x:c>
      <x:c r="H367" s="60" t="n">
        <x:f>G367-F367</x:f>
        <x:v>7.5</x:v>
      </x:c>
      <x:c r="I367" s="50" t="str">
        <x:v>adult-illico-liberte-weekday</x:v>
      </x:c>
      <x:c r="J367" s="50" t="str">
        <x:v>amberieu-en-bugey|bellegarde-sur-valserine</x:v>
      </x:c>
    </x:row>
    <x:row r="368">
      <x:c r="A368" s="50" t="str">
        <x:v>Ambérieu-en-Bugey</x:v>
      </x:c>
      <x:c r="B368" s="50" t="str">
        <x:v>Bellegarde-sur-Valserine</x:v>
      </x:c>
      <x:c r="C368" s="51" t="n">
        <x:v>84</x:v>
      </x:c>
      <x:c r="D368" s="50" t="str">
        <x:v>Adulte</x:v>
      </x:c>
      <x:c r="E368" s="50" t="str">
        <x:v>illico LIBERTÉ — Week-end / Jour férié (-50 %)</x:v>
      </x:c>
      <x:c r="F368" s="52" t="n">
        <x:v>9.7</x:v>
      </x:c>
      <x:c r="G368" s="52" t="n">
        <x:v>14.7</x:v>
      </x:c>
      <x:c r="H368" s="60" t="n">
        <x:f>G368-F368</x:f>
        <x:v>5</x:v>
      </x:c>
      <x:c r="I368" s="50" t="str">
        <x:v>adult-illico-liberte-weekend</x:v>
      </x:c>
      <x:c r="J368" s="50" t="str">
        <x:v>amberieu-en-bugey|bellegarde-sur-valserine</x:v>
      </x:c>
    </x:row>
    <x:row r="369">
      <x:c r="A369" s="50" t="str">
        <x:v>Ambérieu-en-Bugey</x:v>
      </x:c>
      <x:c r="B369" s="50" t="str">
        <x:v>Bellegarde-sur-Valserine</x:v>
      </x:c>
      <x:c r="C369" s="51" t="n">
        <x:v>84</x:v>
      </x:c>
      <x:c r="D369" s="50" t="str">
        <x:v>Adulte</x:v>
      </x:c>
      <x:c r="E369" s="50" t="str">
        <x:v>illico LIBERTÉ — Accompagnant, Week-end / Jour férié (-50 %)</x:v>
      </x:c>
      <x:c r="F369" s="52" t="n">
        <x:v>9.7</x:v>
      </x:c>
      <x:c r="G369" s="52" t="n">
        <x:v>14.7</x:v>
      </x:c>
      <x:c r="H369" s="60" t="n">
        <x:f>G369-F369</x:f>
        <x:v>5</x:v>
      </x:c>
      <x:c r="I369" s="50" t="str">
        <x:v>adult-illico-liberte-weekend-companion</x:v>
      </x:c>
      <x:c r="J369" s="50" t="str">
        <x:v>amberieu-en-bugey|bellegarde-sur-valserine</x:v>
      </x:c>
    </x:row>
    <x:row r="370">
      <x:c r="A370" s="50" t="str">
        <x:v>Ambérieu-en-Bugey</x:v>
      </x:c>
      <x:c r="B370" s="50" t="str">
        <x:v>Bellegarde-sur-Valserine</x:v>
      </x:c>
      <x:c r="C370" s="51" t="n">
        <x:v>84</x:v>
      </x:c>
      <x:c r="D370" s="50" t="str">
        <x:v>Adulte</x:v>
      </x:c>
      <x:c r="E370" s="50" t="str">
        <x:v>illico LIBERTÉ JEUNES (-50 %)</x:v>
      </x:c>
      <x:c r="F370" s="52" t="n">
        <x:v>9.7</x:v>
      </x:c>
      <x:c r="G370" s="52" t="n">
        <x:v>14.7</x:v>
      </x:c>
      <x:c r="H370" s="60" t="n">
        <x:f>G370-F370</x:f>
        <x:v>5</x:v>
      </x:c>
      <x:c r="I370" s="50" t="str">
        <x:v>adult-illico-jeunes</x:v>
      </x:c>
      <x:c r="J370" s="50" t="str">
        <x:v>amberieu-en-bugey|bellegarde-sur-valserine</x:v>
      </x:c>
    </x:row>
    <x:row r="371">
      <x:c r="A371" s="50" t="str">
        <x:v>Ambérieu-en-Bugey</x:v>
      </x:c>
      <x:c r="B371" s="50" t="str">
        <x:v>Bellegarde-sur-Valserine</x:v>
      </x:c>
      <x:c r="C371" s="51" t="n">
        <x:v>84</x:v>
      </x:c>
      <x:c r="D371" s="50" t="str">
        <x:v>Adulte</x:v>
      </x:c>
      <x:c r="E371" s="50" t="str">
        <x:v>Carte Liberté SNCF (-25 %)</x:v>
      </x:c>
      <x:c r="F371" s="52" t="n">
        <x:v>14.5</x:v>
      </x:c>
      <x:c r="G371" s="52" t="n">
        <x:v>22</x:v>
      </x:c>
      <x:c r="H371" s="60" t="n">
        <x:f>G371-F371</x:f>
        <x:v>7.5</x:v>
      </x:c>
      <x:c r="I371" s="50" t="str">
        <x:v>adult-liberte-nationale</x:v>
      </x:c>
      <x:c r="J371" s="50" t="str">
        <x:v>amberieu-en-bugey|bellegarde-sur-valserine</x:v>
      </x:c>
    </x:row>
    <x:row r="372">
      <x:c r="A372" s="50" t="str">
        <x:v>Ambérieu-en-Bugey</x:v>
      </x:c>
      <x:c r="B372" s="50" t="str">
        <x:v>Bellegarde-sur-Valserine</x:v>
      </x:c>
      <x:c r="C372" s="51" t="n">
        <x:v>84</x:v>
      </x:c>
      <x:c r="D372" s="50" t="str">
        <x:v>Adulte</x:v>
      </x:c>
      <x:c r="E372" s="50" t="str">
        <x:v>Carte Familles Nombreuses (-30 %)</x:v>
      </x:c>
      <x:c r="F372" s="52" t="n">
        <x:v>11</x:v>
      </x:c>
      <x:c r="G372" s="52" t="n">
        <x:v>18.8</x:v>
      </x:c>
      <x:c r="H372" s="60" t="n">
        <x:f>G372-F372</x:f>
        <x:v>7.800000000000001</x:v>
      </x:c>
      <x:c r="I372" s="50" t="str">
        <x:v>adult-famille-nombreuse-30</x:v>
      </x:c>
      <x:c r="J372" s="50" t="str">
        <x:v>amberieu-en-bugey|bellegarde-sur-valserine</x:v>
      </x:c>
    </x:row>
    <x:row r="373">
      <x:c r="A373" s="50" t="str">
        <x:v>Ambérieu-en-Bugey</x:v>
      </x:c>
      <x:c r="B373" s="50" t="str">
        <x:v>Bellegarde-sur-Valserine</x:v>
      </x:c>
      <x:c r="C373" s="51" t="n">
        <x:v>84</x:v>
      </x:c>
      <x:c r="D373" s="50" t="str">
        <x:v>Adulte</x:v>
      </x:c>
      <x:c r="E373" s="50" t="str">
        <x:v>Carte Familles Nombreuses (-40 %)</x:v>
      </x:c>
      <x:c r="F373" s="52" t="n">
        <x:v>9.4</x:v>
      </x:c>
      <x:c r="G373" s="52" t="n">
        <x:v>17.2</x:v>
      </x:c>
      <x:c r="H373" s="60" t="n">
        <x:f>G373-F373</x:f>
        <x:v>7.799999999999999</x:v>
      </x:c>
      <x:c r="I373" s="50" t="str">
        <x:v>adult-famille-nombreuse-40</x:v>
      </x:c>
      <x:c r="J373" s="50" t="str">
        <x:v>amberieu-en-bugey|bellegarde-sur-valserine</x:v>
      </x:c>
    </x:row>
    <x:row r="374">
      <x:c r="A374" s="50" t="str">
        <x:v>Ambérieu-en-Bugey</x:v>
      </x:c>
      <x:c r="B374" s="50" t="str">
        <x:v>Bellegarde-sur-Valserine</x:v>
      </x:c>
      <x:c r="C374" s="51" t="n">
        <x:v>84</x:v>
      </x:c>
      <x:c r="D374" s="50" t="str">
        <x:v>Adulte</x:v>
      </x:c>
      <x:c r="E374" s="50" t="str">
        <x:v>Carte Familles Nombreuses (-50 %)</x:v>
      </x:c>
      <x:c r="F374" s="52" t="n">
        <x:v>7.8</x:v>
      </x:c>
      <x:c r="G374" s="52" t="n">
        <x:v>15.6</x:v>
      </x:c>
      <x:c r="H374" s="60" t="n">
        <x:f>G374-F374</x:f>
        <x:v>7.8</x:v>
      </x:c>
      <x:c r="I374" s="50" t="str">
        <x:v>adult-famille-nombreuse-50</x:v>
      </x:c>
      <x:c r="J374" s="50" t="str">
        <x:v>amberieu-en-bugey|bellegarde-sur-valserine</x:v>
      </x:c>
    </x:row>
    <x:row r="375">
      <x:c r="A375" s="50" t="str">
        <x:v>Ambérieu-en-Bugey</x:v>
      </x:c>
      <x:c r="B375" s="50" t="str">
        <x:v>Bellegarde-sur-Valserine</x:v>
      </x:c>
      <x:c r="C375" s="51" t="n">
        <x:v>84</x:v>
      </x:c>
      <x:c r="D375" s="50" t="str">
        <x:v>Adulte</x:v>
      </x:c>
      <x:c r="E375" s="50" t="str">
        <x:v>Carte Familles Nombreuses (-75 %)</x:v>
      </x:c>
      <x:c r="F375" s="52" t="n">
        <x:v>3.9</x:v>
      </x:c>
      <x:c r="G375" s="52" t="n">
        <x:v>11.7</x:v>
      </x:c>
      <x:c r="H375" s="60" t="n">
        <x:f>G375-F375</x:f>
        <x:v>7.799999999999999</x:v>
      </x:c>
      <x:c r="I375" s="50" t="str">
        <x:v>adult-famille-nombreuse-75</x:v>
      </x:c>
      <x:c r="J375" s="50" t="str">
        <x:v>amberieu-en-bugey|bellegarde-sur-valserine</x:v>
      </x:c>
    </x:row>
    <x:row r="376">
      <x:c r="A376" s="50" t="str">
        <x:v>Ambérieu-en-Bugey</x:v>
      </x:c>
      <x:c r="B376" s="50" t="str">
        <x:v>Bellegarde-sur-Valserine</x:v>
      </x:c>
      <x:c r="C376" s="51" t="n">
        <x:v>84</x:v>
      </x:c>
      <x:c r="D376" s="50" t="str">
        <x:v>Adulte</x:v>
      </x:c>
      <x:c r="E376" s="50" t="str">
        <x:v>Carte Militaire (-75 %)</x:v>
      </x:c>
      <x:c r="F376" s="52" t="n">
        <x:v>3.9</x:v>
      </x:c>
      <x:c r="G376" s="52" t="n">
        <x:v>11.7</x:v>
      </x:c>
      <x:c r="H376" s="60" t="n">
        <x:f>G376-F376</x:f>
        <x:v>7.799999999999999</x:v>
      </x:c>
      <x:c r="I376" s="50" t="str">
        <x:v>adult-military</x:v>
      </x:c>
      <x:c r="J376" s="50" t="str">
        <x:v>amberieu-en-bugey|bellegarde-sur-valserine</x:v>
      </x:c>
    </x:row>
    <x:row r="377">
      <x:c r="A377" s="50" t="str">
        <x:v>Ambérieu-en-Bugey</x:v>
      </x:c>
      <x:c r="B377" s="50" t="str">
        <x:v>Bellegarde-sur-Valserine</x:v>
      </x:c>
      <x:c r="C377" s="51" t="n">
        <x:v>84</x:v>
      </x:c>
      <x:c r="D377" s="50" t="str">
        <x:v>Adulte</x:v>
      </x:c>
      <x:c r="E377" s="50" t="str">
        <x:v>Carte Famille Militaire (-40 %)</x:v>
      </x:c>
      <x:c r="F377" s="52" t="n">
        <x:v>11.6</x:v>
      </x:c>
      <x:c r="G377" s="52" t="n">
        <x:v>17.6</x:v>
      </x:c>
      <x:c r="H377" s="60" t="n">
        <x:f>G377-F377</x:f>
        <x:v>6.000000000000002</x:v>
      </x:c>
      <x:c r="I377" s="50" t="str">
        <x:v>adult-family-military</x:v>
      </x:c>
      <x:c r="J377" s="50" t="str">
        <x:v>amberieu-en-bugey|bellegarde-sur-valserine</x:v>
      </x:c>
    </x:row>
    <x:row r="378">
      <x:c r="A378" s="50" t="str">
        <x:v>Ambérieu-en-Bugey</x:v>
      </x:c>
      <x:c r="B378" s="50" t="str">
        <x:v>Bellegarde-sur-Valserine</x:v>
      </x:c>
      <x:c r="C378" s="51" t="n">
        <x:v>84</x:v>
      </x:c>
      <x:c r="D378" s="50" t="str">
        <x:v>Enfant 4–11 ans</x:v>
      </x:c>
      <x:c r="E378" s="50" t="str">
        <x:v>Aucune — Tarif Enfant 4–11 ans</x:v>
      </x:c>
      <x:c r="F378" s="52" t="n">
        <x:v>9.7</x:v>
      </x:c>
      <x:c r="G378" s="52" t="n">
        <x:v>14.7</x:v>
      </x:c>
      <x:c r="H378" s="60" t="n">
        <x:f>G378-F378</x:f>
        <x:v>5</x:v>
      </x:c>
      <x:c r="I378" s="50" t="str">
        <x:v>child-none</x:v>
      </x:c>
      <x:c r="J378" s="50" t="str">
        <x:v>amberieu-en-bugey|bellegarde-sur-valserine</x:v>
      </x:c>
    </x:row>
    <x:row r="379">
      <x:c r="A379" s="50" t="str">
        <x:v>Ambérieu-en-Bugey</x:v>
      </x:c>
      <x:c r="B379" s="50" t="str">
        <x:v>Bellegarde-sur-Valserine</x:v>
      </x:c>
      <x:c r="C379" s="51" t="n">
        <x:v>84</x:v>
      </x:c>
      <x:c r="D379" s="50" t="str">
        <x:v>Enfant 4–11 ans</x:v>
      </x:c>
      <x:c r="E379" s="50" t="str">
        <x:v>illico LIBERTÉ — Accompagnant, Week-end / Jour férié</x:v>
      </x:c>
      <x:c r="F379" s="52" t="n">
        <x:v>4.9</x:v>
      </x:c>
      <x:c r="G379" s="52" t="n">
        <x:v>7.4</x:v>
      </x:c>
      <x:c r="H379" s="60" t="n">
        <x:f>G379-F379</x:f>
        <x:v>2.5</x:v>
      </x:c>
      <x:c r="I379" s="50" t="str">
        <x:v>child-illico-liberte-weekend-companion</x:v>
      </x:c>
      <x:c r="J379" s="50" t="str">
        <x:v>amberieu-en-bugey|bellegarde-sur-valserine</x:v>
      </x:c>
    </x:row>
    <x:row r="380">
      <x:c r="A380" s="50" t="str">
        <x:v>Ambérieu-en-Bugey</x:v>
      </x:c>
      <x:c r="B380" s="50" t="str">
        <x:v>Bellegarde-sur-Valserine</x:v>
      </x:c>
      <x:c r="C380" s="51" t="n">
        <x:v>84</x:v>
      </x:c>
      <x:c r="D380" s="50" t="str">
        <x:v>Enfant 4–11 ans</x:v>
      </x:c>
      <x:c r="E380" s="50" t="str">
        <x:v>Carte Famille Militaire</x:v>
      </x:c>
      <x:c r="F380" s="52" t="n">
        <x:v>5.8</x:v>
      </x:c>
      <x:c r="G380" s="52" t="n">
        <x:v>8.8</x:v>
      </x:c>
      <x:c r="H380" s="60" t="n">
        <x:f>G380-F380</x:f>
        <x:v>3.000000000000001</x:v>
      </x:c>
      <x:c r="I380" s="50" t="str">
        <x:v>child-family-military</x:v>
      </x:c>
      <x:c r="J380" s="50" t="str">
        <x:v>amberieu-en-bugey|bellegarde-sur-valserine</x:v>
      </x:c>
    </x:row>
    <x:row r="381">
      <x:c r="A381" s="50" t="str">
        <x:v>Ambérieu-en-Bugey</x:v>
      </x:c>
      <x:c r="B381" s="50" t="str">
        <x:v>Bellegarde-sur-Valserine</x:v>
      </x:c>
      <x:c r="C381" s="51" t="n">
        <x:v>84</x:v>
      </x:c>
      <x:c r="D381" s="50" t="str">
        <x:v>Enfant 4–11 ans</x:v>
      </x:c>
      <x:c r="E381" s="50" t="str">
        <x:v>Carte Familles Nombreuses (-30 %)</x:v>
      </x:c>
      <x:c r="F381" s="52" t="n">
        <x:v>5.5</x:v>
      </x:c>
      <x:c r="G381" s="52" t="n">
        <x:v>9.4</x:v>
      </x:c>
      <x:c r="H381" s="60" t="n">
        <x:f>G381-F381</x:f>
        <x:v>3.9000000000000004</x:v>
      </x:c>
      <x:c r="I381" s="50" t="str">
        <x:v>child-famille-nombreuse-30</x:v>
      </x:c>
      <x:c r="J381" s="50" t="str">
        <x:v>amberieu-en-bugey|bellegarde-sur-valserine</x:v>
      </x:c>
    </x:row>
    <x:row r="382">
      <x:c r="A382" s="50" t="str">
        <x:v>Ambérieu-en-Bugey</x:v>
      </x:c>
      <x:c r="B382" s="50" t="str">
        <x:v>Bellegarde-sur-Valserine</x:v>
      </x:c>
      <x:c r="C382" s="51" t="n">
        <x:v>84</x:v>
      </x:c>
      <x:c r="D382" s="50" t="str">
        <x:v>Enfant 4–11 ans</x:v>
      </x:c>
      <x:c r="E382" s="50" t="str">
        <x:v>Carte Familles Nombreuses (-40 %)</x:v>
      </x:c>
      <x:c r="F382" s="52" t="n">
        <x:v>4.7</x:v>
      </x:c>
      <x:c r="G382" s="52" t="n">
        <x:v>8.6</x:v>
      </x:c>
      <x:c r="H382" s="60" t="n">
        <x:f>G382-F382</x:f>
        <x:v>3.8999999999999995</x:v>
      </x:c>
      <x:c r="I382" s="50" t="str">
        <x:v>child-famille-nombreuse-40</x:v>
      </x:c>
      <x:c r="J382" s="50" t="str">
        <x:v>amberieu-en-bugey|bellegarde-sur-valserine</x:v>
      </x:c>
    </x:row>
    <x:row r="383">
      <x:c r="A383" s="50" t="str">
        <x:v>Ambérieu-en-Bugey</x:v>
      </x:c>
      <x:c r="B383" s="50" t="str">
        <x:v>Bellegarde-sur-Valserine</x:v>
      </x:c>
      <x:c r="C383" s="51" t="n">
        <x:v>84</x:v>
      </x:c>
      <x:c r="D383" s="50" t="str">
        <x:v>Enfant 4–11 ans</x:v>
      </x:c>
      <x:c r="E383" s="50" t="str">
        <x:v>Carte Familles Nombreuses (-50 %)</x:v>
      </x:c>
      <x:c r="F383" s="52" t="n">
        <x:v>3.9</x:v>
      </x:c>
      <x:c r="G383" s="52" t="n">
        <x:v>7.8</x:v>
      </x:c>
      <x:c r="H383" s="60" t="n">
        <x:f>G383-F383</x:f>
        <x:v>3.9</x:v>
      </x:c>
      <x:c r="I383" s="50" t="str">
        <x:v>child-famille-nombreuse-50</x:v>
      </x:c>
      <x:c r="J383" s="50" t="str">
        <x:v>amberieu-en-bugey|bellegarde-sur-valserine</x:v>
      </x:c>
    </x:row>
    <x:row r="384">
      <x:c r="A384" s="50" t="str">
        <x:v>Ambérieu-en-Bugey</x:v>
      </x:c>
      <x:c r="B384" s="50" t="str">
        <x:v>Bellegarde-sur-Valserine</x:v>
      </x:c>
      <x:c r="C384" s="51" t="n">
        <x:v>84</x:v>
      </x:c>
      <x:c r="D384" s="50" t="str">
        <x:v>Enfant 4–11 ans</x:v>
      </x:c>
      <x:c r="E384" s="50" t="str">
        <x:v>Carte Familles Nombreuses (-75 %)</x:v>
      </x:c>
      <x:c r="F384" s="52" t="n">
        <x:v>2</x:v>
      </x:c>
      <x:c r="G384" s="52" t="n">
        <x:v>5.9</x:v>
      </x:c>
      <x:c r="H384" s="60" t="n">
        <x:f>G384-F384</x:f>
        <x:v>3.9000000000000004</x:v>
      </x:c>
      <x:c r="I384" s="50" t="str">
        <x:v>child-famille-nombreuse-75</x:v>
      </x:c>
      <x:c r="J384" s="50" t="str">
        <x:v>amberieu-en-bugey|bellegarde-sur-valserine</x:v>
      </x:c>
    </x:row>
    <x:row r="385">
      <x:c r="A385" s="50" t="str">
        <x:v>Ambérieu-en-Bugey</x:v>
      </x:c>
      <x:c r="B385" s="50" t="str">
        <x:v>Genève</x:v>
      </x:c>
      <x:c r="C385" s="51" t="n">
        <x:v>126</x:v>
      </x:c>
      <x:c r="D385" s="50" t="str">
        <x:v>Adulte</x:v>
      </x:c>
      <x:c r="E385" s="50" t="str">
        <x:v>Aucune — Plein tarif</x:v>
      </x:c>
      <x:c r="F385" s="52" t="n">
        <x:v>25.9</x:v>
      </x:c>
      <x:c r="G385" s="52" t="n">
        <x:v>39.4</x:v>
      </x:c>
      <x:c r="H385" s="60" t="n">
        <x:f>G385-F385</x:f>
        <x:v>13.5</x:v>
      </x:c>
      <x:c r="I385" s="50" t="str">
        <x:v>adult-none</x:v>
      </x:c>
      <x:c r="J385" s="50" t="str">
        <x:v>amberieu-en-bugey|geneve</x:v>
      </x:c>
    </x:row>
    <x:row r="386">
      <x:c r="A386" s="50" t="str">
        <x:v>Ambérieu-en-Bugey</x:v>
      </x:c>
      <x:c r="B386" s="50" t="str">
        <x:v>Genève</x:v>
      </x:c>
      <x:c r="C386" s="51" t="n">
        <x:v>126</x:v>
      </x:c>
      <x:c r="D386" s="50" t="str">
        <x:v>Adulte</x:v>
      </x:c>
      <x:c r="E386" s="50" t="str">
        <x:v>illico LIBERTÉ — Semaine (-25 %)</x:v>
      </x:c>
      <x:c r="F386" s="52" t="n">
        <x:v>19.5</x:v>
      </x:c>
      <x:c r="G386" s="52" t="n">
        <x:v>29.6</x:v>
      </x:c>
      <x:c r="H386" s="60" t="n">
        <x:f>G386-F386</x:f>
        <x:v>10.100000000000001</x:v>
      </x:c>
      <x:c r="I386" s="50" t="str">
        <x:v>adult-illico-liberte-weekday</x:v>
      </x:c>
      <x:c r="J386" s="50" t="str">
        <x:v>amberieu-en-bugey|geneve</x:v>
      </x:c>
    </x:row>
    <x:row r="387">
      <x:c r="A387" s="50" t="str">
        <x:v>Ambérieu-en-Bugey</x:v>
      </x:c>
      <x:c r="B387" s="50" t="str">
        <x:v>Genève</x:v>
      </x:c>
      <x:c r="C387" s="51" t="n">
        <x:v>126</x:v>
      </x:c>
      <x:c r="D387" s="50" t="str">
        <x:v>Adulte</x:v>
      </x:c>
      <x:c r="E387" s="50" t="str">
        <x:v>illico LIBERTÉ — Week-end / Jour férié (-50 %)</x:v>
      </x:c>
      <x:c r="F387" s="52" t="n">
        <x:v>13</x:v>
      </x:c>
      <x:c r="G387" s="52" t="n">
        <x:v>19.7</x:v>
      </x:c>
      <x:c r="H387" s="60" t="n">
        <x:f>G387-F387</x:f>
        <x:v>6.699999999999999</x:v>
      </x:c>
      <x:c r="I387" s="50" t="str">
        <x:v>adult-illico-liberte-weekend</x:v>
      </x:c>
      <x:c r="J387" s="50" t="str">
        <x:v>amberieu-en-bugey|geneve</x:v>
      </x:c>
    </x:row>
    <x:row r="388">
      <x:c r="A388" s="50" t="str">
        <x:v>Ambérieu-en-Bugey</x:v>
      </x:c>
      <x:c r="B388" s="50" t="str">
        <x:v>Genève</x:v>
      </x:c>
      <x:c r="C388" s="51" t="n">
        <x:v>126</x:v>
      </x:c>
      <x:c r="D388" s="50" t="str">
        <x:v>Adulte</x:v>
      </x:c>
      <x:c r="E388" s="50" t="str">
        <x:v>illico LIBERTÉ — Accompagnant, Week-end / Jour férié (-50 %)</x:v>
      </x:c>
      <x:c r="F388" s="52" t="n">
        <x:v>13</x:v>
      </x:c>
      <x:c r="G388" s="52" t="n">
        <x:v>19.7</x:v>
      </x:c>
      <x:c r="H388" s="60" t="n">
        <x:f>G388-F388</x:f>
        <x:v>6.699999999999999</x:v>
      </x:c>
      <x:c r="I388" s="50" t="str">
        <x:v>adult-illico-liberte-weekend-companion</x:v>
      </x:c>
      <x:c r="J388" s="50" t="str">
        <x:v>amberieu-en-bugey|geneve</x:v>
      </x:c>
    </x:row>
    <x:row r="389">
      <x:c r="A389" s="50" t="str">
        <x:v>Ambérieu-en-Bugey</x:v>
      </x:c>
      <x:c r="B389" s="50" t="str">
        <x:v>Genève</x:v>
      </x:c>
      <x:c r="C389" s="51" t="n">
        <x:v>126</x:v>
      </x:c>
      <x:c r="D389" s="50" t="str">
        <x:v>Adulte</x:v>
      </x:c>
      <x:c r="E389" s="50" t="str">
        <x:v>illico LIBERTÉ JEUNES (-50 %)</x:v>
      </x:c>
      <x:c r="F389" s="52" t="n">
        <x:v>13</x:v>
      </x:c>
      <x:c r="G389" s="52" t="n">
        <x:v>19.7</x:v>
      </x:c>
      <x:c r="H389" s="60" t="n">
        <x:f>G389-F389</x:f>
        <x:v>6.699999999999999</x:v>
      </x:c>
      <x:c r="I389" s="50" t="str">
        <x:v>adult-illico-jeunes</x:v>
      </x:c>
      <x:c r="J389" s="50" t="str">
        <x:v>amberieu-en-bugey|geneve</x:v>
      </x:c>
    </x:row>
    <x:row r="390">
      <x:c r="A390" s="50" t="str">
        <x:v>Ambérieu-en-Bugey</x:v>
      </x:c>
      <x:c r="B390" s="50" t="str">
        <x:v>Genève</x:v>
      </x:c>
      <x:c r="C390" s="51" t="n">
        <x:v>126</x:v>
      </x:c>
      <x:c r="D390" s="50" t="str">
        <x:v>Adulte</x:v>
      </x:c>
      <x:c r="E390" s="50" t="str">
        <x:v>Carte Liberté SNCF (-25 %)</x:v>
      </x:c>
      <x:c r="F390" s="52" t="n">
        <x:v>19.5</x:v>
      </x:c>
      <x:c r="G390" s="52" t="n">
        <x:v>29.6</x:v>
      </x:c>
      <x:c r="H390" s="60" t="n">
        <x:f>G390-F390</x:f>
        <x:v>10.100000000000001</x:v>
      </x:c>
      <x:c r="I390" s="50" t="str">
        <x:v>adult-liberte-nationale</x:v>
      </x:c>
      <x:c r="J390" s="50" t="str">
        <x:v>amberieu-en-bugey|geneve</x:v>
      </x:c>
    </x:row>
    <x:row r="391">
      <x:c r="A391" s="50" t="str">
        <x:v>Ambérieu-en-Bugey</x:v>
      </x:c>
      <x:c r="B391" s="50" t="str">
        <x:v>Genève</x:v>
      </x:c>
      <x:c r="C391" s="51" t="n">
        <x:v>126</x:v>
      </x:c>
      <x:c r="D391" s="50" t="str">
        <x:v>Adulte</x:v>
      </x:c>
      <x:c r="E391" s="50" t="str">
        <x:v>Carte Familles Nombreuses (-30 %)</x:v>
      </x:c>
      <x:c r="F391" s="52" t="n">
        <x:v>14.7</x:v>
      </x:c>
      <x:c r="G391" s="52" t="n">
        <x:v>25.2</x:v>
      </x:c>
      <x:c r="H391" s="60" t="n">
        <x:f>G391-F391</x:f>
        <x:v>10.5</x:v>
      </x:c>
      <x:c r="I391" s="50" t="str">
        <x:v>adult-famille-nombreuse-30</x:v>
      </x:c>
      <x:c r="J391" s="50" t="str">
        <x:v>amberieu-en-bugey|geneve</x:v>
      </x:c>
    </x:row>
    <x:row r="392">
      <x:c r="A392" s="50" t="str">
        <x:v>Ambérieu-en-Bugey</x:v>
      </x:c>
      <x:c r="B392" s="50" t="str">
        <x:v>Genève</x:v>
      </x:c>
      <x:c r="C392" s="51" t="n">
        <x:v>126</x:v>
      </x:c>
      <x:c r="D392" s="50" t="str">
        <x:v>Adulte</x:v>
      </x:c>
      <x:c r="E392" s="50" t="str">
        <x:v>Carte Familles Nombreuses (-40 %)</x:v>
      </x:c>
      <x:c r="F392" s="52" t="n">
        <x:v>12.6</x:v>
      </x:c>
      <x:c r="G392" s="52" t="n">
        <x:v>23.1</x:v>
      </x:c>
      <x:c r="H392" s="60" t="n">
        <x:f>G392-F392</x:f>
        <x:v>10.500000000000002</x:v>
      </x:c>
      <x:c r="I392" s="50" t="str">
        <x:v>adult-famille-nombreuse-40</x:v>
      </x:c>
      <x:c r="J392" s="50" t="str">
        <x:v>amberieu-en-bugey|geneve</x:v>
      </x:c>
    </x:row>
    <x:row r="393">
      <x:c r="A393" s="50" t="str">
        <x:v>Ambérieu-en-Bugey</x:v>
      </x:c>
      <x:c r="B393" s="50" t="str">
        <x:v>Genève</x:v>
      </x:c>
      <x:c r="C393" s="51" t="n">
        <x:v>126</x:v>
      </x:c>
      <x:c r="D393" s="50" t="str">
        <x:v>Adulte</x:v>
      </x:c>
      <x:c r="E393" s="50" t="str">
        <x:v>Carte Familles Nombreuses (-50 %)</x:v>
      </x:c>
      <x:c r="F393" s="52" t="n">
        <x:v>10.5</x:v>
      </x:c>
      <x:c r="G393" s="52" t="n">
        <x:v>21</x:v>
      </x:c>
      <x:c r="H393" s="60" t="n">
        <x:f>G393-F393</x:f>
        <x:v>10.5</x:v>
      </x:c>
      <x:c r="I393" s="50" t="str">
        <x:v>adult-famille-nombreuse-50</x:v>
      </x:c>
      <x:c r="J393" s="50" t="str">
        <x:v>amberieu-en-bugey|geneve</x:v>
      </x:c>
    </x:row>
    <x:row r="394">
      <x:c r="A394" s="50" t="str">
        <x:v>Ambérieu-en-Bugey</x:v>
      </x:c>
      <x:c r="B394" s="50" t="str">
        <x:v>Genève</x:v>
      </x:c>
      <x:c r="C394" s="51" t="n">
        <x:v>126</x:v>
      </x:c>
      <x:c r="D394" s="50" t="str">
        <x:v>Adulte</x:v>
      </x:c>
      <x:c r="E394" s="50" t="str">
        <x:v>Carte Familles Nombreuses (-75 %)</x:v>
      </x:c>
      <x:c r="F394" s="52" t="n">
        <x:v>5.3</x:v>
      </x:c>
      <x:c r="G394" s="52" t="n">
        <x:v>15.8</x:v>
      </x:c>
      <x:c r="H394" s="60" t="n">
        <x:f>G394-F394</x:f>
        <x:v>10.5</x:v>
      </x:c>
      <x:c r="I394" s="50" t="str">
        <x:v>adult-famille-nombreuse-75</x:v>
      </x:c>
      <x:c r="J394" s="50" t="str">
        <x:v>amberieu-en-bugey|geneve</x:v>
      </x:c>
    </x:row>
    <x:row r="395">
      <x:c r="A395" s="50" t="str">
        <x:v>Ambérieu-en-Bugey</x:v>
      </x:c>
      <x:c r="B395" s="50" t="str">
        <x:v>Genève</x:v>
      </x:c>
      <x:c r="C395" s="51" t="n">
        <x:v>126</x:v>
      </x:c>
      <x:c r="D395" s="50" t="str">
        <x:v>Adulte</x:v>
      </x:c>
      <x:c r="E395" s="50" t="str">
        <x:v>Carte Militaire (-75 %)</x:v>
      </x:c>
      <x:c r="F395" s="52" t="n">
        <x:v>5.3</x:v>
      </x:c>
      <x:c r="G395" s="52" t="n">
        <x:v>15.8</x:v>
      </x:c>
      <x:c r="H395" s="60" t="n">
        <x:f>G395-F395</x:f>
        <x:v>10.5</x:v>
      </x:c>
      <x:c r="I395" s="50" t="str">
        <x:v>adult-military</x:v>
      </x:c>
      <x:c r="J395" s="50" t="str">
        <x:v>amberieu-en-bugey|geneve</x:v>
      </x:c>
    </x:row>
    <x:row r="396">
      <x:c r="A396" s="50" t="str">
        <x:v>Ambérieu-en-Bugey</x:v>
      </x:c>
      <x:c r="B396" s="50" t="str">
        <x:v>Genève</x:v>
      </x:c>
      <x:c r="C396" s="51" t="n">
        <x:v>126</x:v>
      </x:c>
      <x:c r="D396" s="50" t="str">
        <x:v>Adulte</x:v>
      </x:c>
      <x:c r="E396" s="50" t="str">
        <x:v>Carte Famille Militaire (-40 %)</x:v>
      </x:c>
      <x:c r="F396" s="52" t="n">
        <x:v>15.6</x:v>
      </x:c>
      <x:c r="G396" s="52" t="n">
        <x:v>23.7</x:v>
      </x:c>
      <x:c r="H396" s="60" t="n">
        <x:f>G396-F396</x:f>
        <x:v>8.1</x:v>
      </x:c>
      <x:c r="I396" s="50" t="str">
        <x:v>adult-family-military</x:v>
      </x:c>
      <x:c r="J396" s="50" t="str">
        <x:v>amberieu-en-bugey|geneve</x:v>
      </x:c>
    </x:row>
    <x:row r="397">
      <x:c r="A397" s="50" t="str">
        <x:v>Ambérieu-en-Bugey</x:v>
      </x:c>
      <x:c r="B397" s="50" t="str">
        <x:v>Genève</x:v>
      </x:c>
      <x:c r="C397" s="51" t="n">
        <x:v>126</x:v>
      </x:c>
      <x:c r="D397" s="50" t="str">
        <x:v>Enfant 4–11 ans</x:v>
      </x:c>
      <x:c r="E397" s="50" t="str">
        <x:v>Aucune — Tarif Enfant 4–11 ans</x:v>
      </x:c>
      <x:c r="F397" s="52" t="n">
        <x:v>13</x:v>
      </x:c>
      <x:c r="G397" s="52" t="n">
        <x:v>19.7</x:v>
      </x:c>
      <x:c r="H397" s="60" t="n">
        <x:f>G397-F397</x:f>
        <x:v>6.699999999999999</x:v>
      </x:c>
      <x:c r="I397" s="50" t="str">
        <x:v>child-none</x:v>
      </x:c>
      <x:c r="J397" s="50" t="str">
        <x:v>amberieu-en-bugey|geneve</x:v>
      </x:c>
    </x:row>
    <x:row r="398">
      <x:c r="A398" s="50" t="str">
        <x:v>Ambérieu-en-Bugey</x:v>
      </x:c>
      <x:c r="B398" s="50" t="str">
        <x:v>Genève</x:v>
      </x:c>
      <x:c r="C398" s="51" t="n">
        <x:v>126</x:v>
      </x:c>
      <x:c r="D398" s="50" t="str">
        <x:v>Enfant 4–11 ans</x:v>
      </x:c>
      <x:c r="E398" s="50" t="str">
        <x:v>illico LIBERTÉ — Accompagnant, Week-end / Jour férié</x:v>
      </x:c>
      <x:c r="F398" s="52" t="n">
        <x:v>6.5</x:v>
      </x:c>
      <x:c r="G398" s="52" t="n">
        <x:v>9.9</x:v>
      </x:c>
      <x:c r="H398" s="60" t="n">
        <x:f>G398-F398</x:f>
        <x:v>3.4000000000000004</x:v>
      </x:c>
      <x:c r="I398" s="50" t="str">
        <x:v>child-illico-liberte-weekend-companion</x:v>
      </x:c>
      <x:c r="J398" s="50" t="str">
        <x:v>amberieu-en-bugey|geneve</x:v>
      </x:c>
    </x:row>
    <x:row r="399">
      <x:c r="A399" s="50" t="str">
        <x:v>Ambérieu-en-Bugey</x:v>
      </x:c>
      <x:c r="B399" s="50" t="str">
        <x:v>Genève</x:v>
      </x:c>
      <x:c r="C399" s="51" t="n">
        <x:v>126</x:v>
      </x:c>
      <x:c r="D399" s="50" t="str">
        <x:v>Enfant 4–11 ans</x:v>
      </x:c>
      <x:c r="E399" s="50" t="str">
        <x:v>Carte Famille Militaire</x:v>
      </x:c>
      <x:c r="F399" s="52" t="n">
        <x:v>7.8</x:v>
      </x:c>
      <x:c r="G399" s="52" t="n">
        <x:v>11.9</x:v>
      </x:c>
      <x:c r="H399" s="60" t="n">
        <x:f>G399-F399</x:f>
        <x:v>4.1000000000000005</x:v>
      </x:c>
      <x:c r="I399" s="50" t="str">
        <x:v>child-family-military</x:v>
      </x:c>
      <x:c r="J399" s="50" t="str">
        <x:v>amberieu-en-bugey|geneve</x:v>
      </x:c>
    </x:row>
    <x:row r="400">
      <x:c r="A400" s="50" t="str">
        <x:v>Ambérieu-en-Bugey</x:v>
      </x:c>
      <x:c r="B400" s="50" t="str">
        <x:v>Genève</x:v>
      </x:c>
      <x:c r="C400" s="51" t="n">
        <x:v>126</x:v>
      </x:c>
      <x:c r="D400" s="50" t="str">
        <x:v>Enfant 4–11 ans</x:v>
      </x:c>
      <x:c r="E400" s="50" t="str">
        <x:v>Carte Familles Nombreuses (-30 %)</x:v>
      </x:c>
      <x:c r="F400" s="52" t="n">
        <x:v>7.4</x:v>
      </x:c>
      <x:c r="G400" s="52" t="n">
        <x:v>12.6</x:v>
      </x:c>
      <x:c r="H400" s="60" t="n">
        <x:f>G400-F400</x:f>
        <x:v>5.199999999999999</x:v>
      </x:c>
      <x:c r="I400" s="50" t="str">
        <x:v>child-famille-nombreuse-30</x:v>
      </x:c>
      <x:c r="J400" s="50" t="str">
        <x:v>amberieu-en-bugey|geneve</x:v>
      </x:c>
    </x:row>
    <x:row r="401">
      <x:c r="A401" s="50" t="str">
        <x:v>Ambérieu-en-Bugey</x:v>
      </x:c>
      <x:c r="B401" s="50" t="str">
        <x:v>Genève</x:v>
      </x:c>
      <x:c r="C401" s="51" t="n">
        <x:v>126</x:v>
      </x:c>
      <x:c r="D401" s="50" t="str">
        <x:v>Enfant 4–11 ans</x:v>
      </x:c>
      <x:c r="E401" s="50" t="str">
        <x:v>Carte Familles Nombreuses (-40 %)</x:v>
      </x:c>
      <x:c r="F401" s="52" t="n">
        <x:v>6.3</x:v>
      </x:c>
      <x:c r="G401" s="52" t="n">
        <x:v>11.6</x:v>
      </x:c>
      <x:c r="H401" s="60" t="n">
        <x:f>G401-F401</x:f>
        <x:v>5.3</x:v>
      </x:c>
      <x:c r="I401" s="50" t="str">
        <x:v>child-famille-nombreuse-40</x:v>
      </x:c>
      <x:c r="J401" s="50" t="str">
        <x:v>amberieu-en-bugey|geneve</x:v>
      </x:c>
    </x:row>
    <x:row r="402">
      <x:c r="A402" s="50" t="str">
        <x:v>Ambérieu-en-Bugey</x:v>
      </x:c>
      <x:c r="B402" s="50" t="str">
        <x:v>Genève</x:v>
      </x:c>
      <x:c r="C402" s="51" t="n">
        <x:v>126</x:v>
      </x:c>
      <x:c r="D402" s="50" t="str">
        <x:v>Enfant 4–11 ans</x:v>
      </x:c>
      <x:c r="E402" s="50" t="str">
        <x:v>Carte Familles Nombreuses (-50 %)</x:v>
      </x:c>
      <x:c r="F402" s="52" t="n">
        <x:v>5.3</x:v>
      </x:c>
      <x:c r="G402" s="52" t="n">
        <x:v>10.5</x:v>
      </x:c>
      <x:c r="H402" s="60" t="n">
        <x:f>G402-F402</x:f>
        <x:v>5.2</x:v>
      </x:c>
      <x:c r="I402" s="50" t="str">
        <x:v>child-famille-nombreuse-50</x:v>
      </x:c>
      <x:c r="J402" s="50" t="str">
        <x:v>amberieu-en-bugey|geneve</x:v>
      </x:c>
    </x:row>
    <x:row r="403">
      <x:c r="A403" s="50" t="str">
        <x:v>Ambérieu-en-Bugey</x:v>
      </x:c>
      <x:c r="B403" s="50" t="str">
        <x:v>Genève</x:v>
      </x:c>
      <x:c r="C403" s="51" t="n">
        <x:v>126</x:v>
      </x:c>
      <x:c r="D403" s="50" t="str">
        <x:v>Enfant 4–11 ans</x:v>
      </x:c>
      <x:c r="E403" s="50" t="str">
        <x:v>Carte Familles Nombreuses (-75 %)</x:v>
      </x:c>
      <x:c r="F403" s="52" t="n">
        <x:v>2.7</x:v>
      </x:c>
      <x:c r="G403" s="52" t="n">
        <x:v>7.9</x:v>
      </x:c>
      <x:c r="H403" s="60" t="n">
        <x:f>G403-F403</x:f>
        <x:v>5.2</x:v>
      </x:c>
      <x:c r="I403" s="50" t="str">
        <x:v>child-famille-nombreuse-75</x:v>
      </x:c>
      <x:c r="J403" s="50" t="str">
        <x:v>amberieu-en-bugey|geneve</x:v>
      </x:c>
    </x:row>
    <x:row r="404">
      <x:c r="A404" s="50" t="str">
        <x:v>Tenay-Hauteville</x:v>
      </x:c>
      <x:c r="B404" s="50" t="str">
        <x:v>Virieu-le-Grand – Belley</x:v>
      </x:c>
      <x:c r="C404" s="51" t="n">
        <x:v>21</x:v>
      </x:c>
      <x:c r="D404" s="50" t="str">
        <x:v>Adulte</x:v>
      </x:c>
      <x:c r="E404" s="50" t="str">
        <x:v>Aucune — Plein tarif</x:v>
      </x:c>
      <x:c r="F404" s="52" t="n">
        <x:v>5.9</x:v>
      </x:c>
      <x:c r="G404" s="52" t="n">
        <x:v>9</x:v>
      </x:c>
      <x:c r="H404" s="60" t="n">
        <x:f>G404-F404</x:f>
        <x:v>3.0999999999999996</x:v>
      </x:c>
      <x:c r="I404" s="50" t="str">
        <x:v>adult-none</x:v>
      </x:c>
      <x:c r="J404" s="50" t="str">
        <x:v>tenay-hauteville|virieu-le-grand-belley</x:v>
      </x:c>
    </x:row>
    <x:row r="405">
      <x:c r="A405" s="50" t="str">
        <x:v>Tenay-Hauteville</x:v>
      </x:c>
      <x:c r="B405" s="50" t="str">
        <x:v>Virieu-le-Grand – Belley</x:v>
      </x:c>
      <x:c r="C405" s="51" t="n">
        <x:v>21</x:v>
      </x:c>
      <x:c r="D405" s="50" t="str">
        <x:v>Adulte</x:v>
      </x:c>
      <x:c r="E405" s="50" t="str">
        <x:v>illico LIBERTÉ — Semaine (-25 %)</x:v>
      </x:c>
      <x:c r="F405" s="52" t="n">
        <x:v>4.5</x:v>
      </x:c>
      <x:c r="G405" s="52" t="n">
        <x:v>6.8</x:v>
      </x:c>
      <x:c r="H405" s="60" t="n">
        <x:f>G405-F405</x:f>
        <x:v>2.3</x:v>
      </x:c>
      <x:c r="I405" s="50" t="str">
        <x:v>adult-illico-liberte-weekday</x:v>
      </x:c>
      <x:c r="J405" s="50" t="str">
        <x:v>tenay-hauteville|virieu-le-grand-belley</x:v>
      </x:c>
    </x:row>
    <x:row r="406">
      <x:c r="A406" s="50" t="str">
        <x:v>Tenay-Hauteville</x:v>
      </x:c>
      <x:c r="B406" s="50" t="str">
        <x:v>Virieu-le-Grand – Belley</x:v>
      </x:c>
      <x:c r="C406" s="51" t="n">
        <x:v>21</x:v>
      </x:c>
      <x:c r="D406" s="50" t="str">
        <x:v>Adulte</x:v>
      </x:c>
      <x:c r="E406" s="50" t="str">
        <x:v>illico LIBERTÉ — Week-end / Jour férié (-50 %)</x:v>
      </x:c>
      <x:c r="F406" s="52" t="n">
        <x:v>3</x:v>
      </x:c>
      <x:c r="G406" s="52" t="n">
        <x:v>4.5</x:v>
      </x:c>
      <x:c r="H406" s="60" t="n">
        <x:f>G406-F406</x:f>
        <x:v>1.5</x:v>
      </x:c>
      <x:c r="I406" s="50" t="str">
        <x:v>adult-illico-liberte-weekend</x:v>
      </x:c>
      <x:c r="J406" s="50" t="str">
        <x:v>tenay-hauteville|virieu-le-grand-belley</x:v>
      </x:c>
    </x:row>
    <x:row r="407">
      <x:c r="A407" s="50" t="str">
        <x:v>Tenay-Hauteville</x:v>
      </x:c>
      <x:c r="B407" s="50" t="str">
        <x:v>Virieu-le-Grand – Belley</x:v>
      </x:c>
      <x:c r="C407" s="51" t="n">
        <x:v>21</x:v>
      </x:c>
      <x:c r="D407" s="50" t="str">
        <x:v>Adulte</x:v>
      </x:c>
      <x:c r="E407" s="50" t="str">
        <x:v>illico LIBERTÉ — Accompagnant, Week-end / Jour férié (-50 %)</x:v>
      </x:c>
      <x:c r="F407" s="52" t="n">
        <x:v>3</x:v>
      </x:c>
      <x:c r="G407" s="52" t="n">
        <x:v>4.5</x:v>
      </x:c>
      <x:c r="H407" s="60" t="n">
        <x:f>G407-F407</x:f>
        <x:v>1.5</x:v>
      </x:c>
      <x:c r="I407" s="50" t="str">
        <x:v>adult-illico-liberte-weekend-companion</x:v>
      </x:c>
      <x:c r="J407" s="50" t="str">
        <x:v>tenay-hauteville|virieu-le-grand-belley</x:v>
      </x:c>
    </x:row>
    <x:row r="408">
      <x:c r="A408" s="50" t="str">
        <x:v>Tenay-Hauteville</x:v>
      </x:c>
      <x:c r="B408" s="50" t="str">
        <x:v>Virieu-le-Grand – Belley</x:v>
      </x:c>
      <x:c r="C408" s="51" t="n">
        <x:v>21</x:v>
      </x:c>
      <x:c r="D408" s="50" t="str">
        <x:v>Adulte</x:v>
      </x:c>
      <x:c r="E408" s="50" t="str">
        <x:v>illico LIBERTÉ JEUNES (-50 %)</x:v>
      </x:c>
      <x:c r="F408" s="52" t="n">
        <x:v>3</x:v>
      </x:c>
      <x:c r="G408" s="52" t="n">
        <x:v>4.5</x:v>
      </x:c>
      <x:c r="H408" s="60" t="n">
        <x:f>G408-F408</x:f>
        <x:v>1.5</x:v>
      </x:c>
      <x:c r="I408" s="50" t="str">
        <x:v>adult-illico-jeunes</x:v>
      </x:c>
      <x:c r="J408" s="50" t="str">
        <x:v>tenay-hauteville|virieu-le-grand-belley</x:v>
      </x:c>
    </x:row>
    <x:row r="409">
      <x:c r="A409" s="50" t="str">
        <x:v>Tenay-Hauteville</x:v>
      </x:c>
      <x:c r="B409" s="50" t="str">
        <x:v>Virieu-le-Grand – Belley</x:v>
      </x:c>
      <x:c r="C409" s="51" t="n">
        <x:v>21</x:v>
      </x:c>
      <x:c r="D409" s="50" t="str">
        <x:v>Adulte</x:v>
      </x:c>
      <x:c r="E409" s="50" t="str">
        <x:v>Carte Liberté SNCF (-25 %)</x:v>
      </x:c>
      <x:c r="F409" s="52" t="n">
        <x:v>4.5</x:v>
      </x:c>
      <x:c r="G409" s="52" t="n">
        <x:v>6.8</x:v>
      </x:c>
      <x:c r="H409" s="60" t="n">
        <x:f>G409-F409</x:f>
        <x:v>2.3</x:v>
      </x:c>
      <x:c r="I409" s="50" t="str">
        <x:v>adult-liberte-nationale</x:v>
      </x:c>
      <x:c r="J409" s="50" t="str">
        <x:v>tenay-hauteville|virieu-le-grand-belley</x:v>
      </x:c>
    </x:row>
    <x:row r="410">
      <x:c r="A410" s="50" t="str">
        <x:v>Tenay-Hauteville</x:v>
      </x:c>
      <x:c r="B410" s="50" t="str">
        <x:v>Virieu-le-Grand – Belley</x:v>
      </x:c>
      <x:c r="C410" s="51" t="n">
        <x:v>21</x:v>
      </x:c>
      <x:c r="D410" s="50" t="str">
        <x:v>Adulte</x:v>
      </x:c>
      <x:c r="E410" s="50" t="str">
        <x:v>Carte Familles Nombreuses (-30 %)</x:v>
      </x:c>
      <x:c r="F410" s="52" t="n">
        <x:v>3.4</x:v>
      </x:c>
      <x:c r="G410" s="52" t="n">
        <x:v>5.8</x:v>
      </x:c>
      <x:c r="H410" s="60" t="n">
        <x:f>G410-F410</x:f>
        <x:v>2.4</x:v>
      </x:c>
      <x:c r="I410" s="50" t="str">
        <x:v>adult-famille-nombreuse-30</x:v>
      </x:c>
      <x:c r="J410" s="50" t="str">
        <x:v>tenay-hauteville|virieu-le-grand-belley</x:v>
      </x:c>
    </x:row>
    <x:row r="411">
      <x:c r="A411" s="50" t="str">
        <x:v>Tenay-Hauteville</x:v>
      </x:c>
      <x:c r="B411" s="50" t="str">
        <x:v>Virieu-le-Grand – Belley</x:v>
      </x:c>
      <x:c r="C411" s="51" t="n">
        <x:v>21</x:v>
      </x:c>
      <x:c r="D411" s="50" t="str">
        <x:v>Adulte</x:v>
      </x:c>
      <x:c r="E411" s="50" t="str">
        <x:v>Carte Familles Nombreuses (-40 %)</x:v>
      </x:c>
      <x:c r="F411" s="52" t="n">
        <x:v>2.9</x:v>
      </x:c>
      <x:c r="G411" s="52" t="n">
        <x:v>5.3</x:v>
      </x:c>
      <x:c r="H411" s="60" t="n">
        <x:f>G411-F411</x:f>
        <x:v>2.4</x:v>
      </x:c>
      <x:c r="I411" s="50" t="str">
        <x:v>adult-famille-nombreuse-40</x:v>
      </x:c>
      <x:c r="J411" s="50" t="str">
        <x:v>tenay-hauteville|virieu-le-grand-belley</x:v>
      </x:c>
    </x:row>
    <x:row r="412">
      <x:c r="A412" s="50" t="str">
        <x:v>Tenay-Hauteville</x:v>
      </x:c>
      <x:c r="B412" s="50" t="str">
        <x:v>Virieu-le-Grand – Belley</x:v>
      </x:c>
      <x:c r="C412" s="51" t="n">
        <x:v>21</x:v>
      </x:c>
      <x:c r="D412" s="50" t="str">
        <x:v>Adulte</x:v>
      </x:c>
      <x:c r="E412" s="50" t="str">
        <x:v>Carte Familles Nombreuses (-50 %)</x:v>
      </x:c>
      <x:c r="F412" s="52" t="n">
        <x:v>2.4</x:v>
      </x:c>
      <x:c r="G412" s="52" t="n">
        <x:v>4.8</x:v>
      </x:c>
      <x:c r="H412" s="60" t="n">
        <x:f>G412-F412</x:f>
        <x:v>2.4</x:v>
      </x:c>
      <x:c r="I412" s="50" t="str">
        <x:v>adult-famille-nombreuse-50</x:v>
      </x:c>
      <x:c r="J412" s="50" t="str">
        <x:v>tenay-hauteville|virieu-le-grand-belley</x:v>
      </x:c>
    </x:row>
    <x:row r="413">
      <x:c r="A413" s="50" t="str">
        <x:v>Tenay-Hauteville</x:v>
      </x:c>
      <x:c r="B413" s="50" t="str">
        <x:v>Virieu-le-Grand – Belley</x:v>
      </x:c>
      <x:c r="C413" s="51" t="n">
        <x:v>21</x:v>
      </x:c>
      <x:c r="D413" s="50" t="str">
        <x:v>Adulte</x:v>
      </x:c>
      <x:c r="E413" s="50" t="str">
        <x:v>Carte Familles Nombreuses (-75 %)</x:v>
      </x:c>
      <x:c r="F413" s="52" t="n">
        <x:v>1.2</x:v>
      </x:c>
      <x:c r="G413" s="52" t="n">
        <x:v>3.6</x:v>
      </x:c>
      <x:c r="H413" s="60" t="n">
        <x:f>G413-F413</x:f>
        <x:v>2.4000000000000004</x:v>
      </x:c>
      <x:c r="I413" s="50" t="str">
        <x:v>adult-famille-nombreuse-75</x:v>
      </x:c>
      <x:c r="J413" s="50" t="str">
        <x:v>tenay-hauteville|virieu-le-grand-belley</x:v>
      </x:c>
    </x:row>
    <x:row r="414">
      <x:c r="A414" s="50" t="str">
        <x:v>Tenay-Hauteville</x:v>
      </x:c>
      <x:c r="B414" s="50" t="str">
        <x:v>Virieu-le-Grand – Belley</x:v>
      </x:c>
      <x:c r="C414" s="51" t="n">
        <x:v>21</x:v>
      </x:c>
      <x:c r="D414" s="50" t="str">
        <x:v>Adulte</x:v>
      </x:c>
      <x:c r="E414" s="50" t="str">
        <x:v>Carte Militaire (-75 %)</x:v>
      </x:c>
      <x:c r="F414" s="52" t="n">
        <x:v>1.2</x:v>
      </x:c>
      <x:c r="G414" s="52" t="n">
        <x:v>3.6</x:v>
      </x:c>
      <x:c r="H414" s="60" t="n">
        <x:f>G414-F414</x:f>
        <x:v>2.4000000000000004</x:v>
      </x:c>
      <x:c r="I414" s="50" t="str">
        <x:v>adult-military</x:v>
      </x:c>
      <x:c r="J414" s="50" t="str">
        <x:v>tenay-hauteville|virieu-le-grand-belley</x:v>
      </x:c>
    </x:row>
    <x:row r="415">
      <x:c r="A415" s="50" t="str">
        <x:v>Tenay-Hauteville</x:v>
      </x:c>
      <x:c r="B415" s="50" t="str">
        <x:v>Virieu-le-Grand – Belley</x:v>
      </x:c>
      <x:c r="C415" s="51" t="n">
        <x:v>21</x:v>
      </x:c>
      <x:c r="D415" s="50" t="str">
        <x:v>Adulte</x:v>
      </x:c>
      <x:c r="E415" s="50" t="str">
        <x:v>Carte Famille Militaire (-40 %)</x:v>
      </x:c>
      <x:c r="F415" s="52" t="n">
        <x:v>3.6</x:v>
      </x:c>
      <x:c r="G415" s="52" t="n">
        <x:v>5.4</x:v>
      </x:c>
      <x:c r="H415" s="60" t="n">
        <x:f>G415-F415</x:f>
        <x:v>1.8000000000000003</x:v>
      </x:c>
      <x:c r="I415" s="50" t="str">
        <x:v>adult-family-military</x:v>
      </x:c>
      <x:c r="J415" s="50" t="str">
        <x:v>tenay-hauteville|virieu-le-grand-belley</x:v>
      </x:c>
    </x:row>
    <x:row r="416">
      <x:c r="A416" s="50" t="str">
        <x:v>Tenay-Hauteville</x:v>
      </x:c>
      <x:c r="B416" s="50" t="str">
        <x:v>Virieu-le-Grand – Belley</x:v>
      </x:c>
      <x:c r="C416" s="51" t="n">
        <x:v>21</x:v>
      </x:c>
      <x:c r="D416" s="50" t="str">
        <x:v>Enfant 4–11 ans</x:v>
      </x:c>
      <x:c r="E416" s="50" t="str">
        <x:v>Aucune — Tarif Enfant 4–11 ans</x:v>
      </x:c>
      <x:c r="F416" s="52" t="n">
        <x:v>3</x:v>
      </x:c>
      <x:c r="G416" s="52" t="n">
        <x:v>4.5</x:v>
      </x:c>
      <x:c r="H416" s="60" t="n">
        <x:f>G416-F416</x:f>
        <x:v>1.5</x:v>
      </x:c>
      <x:c r="I416" s="50" t="str">
        <x:v>child-none</x:v>
      </x:c>
      <x:c r="J416" s="50" t="str">
        <x:v>tenay-hauteville|virieu-le-grand-belley</x:v>
      </x:c>
    </x:row>
    <x:row r="417">
      <x:c r="A417" s="50" t="str">
        <x:v>Tenay-Hauteville</x:v>
      </x:c>
      <x:c r="B417" s="50" t="str">
        <x:v>Virieu-le-Grand – Belley</x:v>
      </x:c>
      <x:c r="C417" s="51" t="n">
        <x:v>21</x:v>
      </x:c>
      <x:c r="D417" s="50" t="str">
        <x:v>Enfant 4–11 ans</x:v>
      </x:c>
      <x:c r="E417" s="50" t="str">
        <x:v>illico LIBERTÉ — Accompagnant, Week-end / Jour férié</x:v>
      </x:c>
      <x:c r="F417" s="52" t="n">
        <x:v>1.5</x:v>
      </x:c>
      <x:c r="G417" s="52" t="n">
        <x:v>2.3</x:v>
      </x:c>
      <x:c r="H417" s="60" t="n">
        <x:f>G417-F417</x:f>
        <x:v>0.7999999999999998</x:v>
      </x:c>
      <x:c r="I417" s="50" t="str">
        <x:v>child-illico-liberte-weekend-companion</x:v>
      </x:c>
      <x:c r="J417" s="50" t="str">
        <x:v>tenay-hauteville|virieu-le-grand-belley</x:v>
      </x:c>
    </x:row>
    <x:row r="418">
      <x:c r="A418" s="50" t="str">
        <x:v>Tenay-Hauteville</x:v>
      </x:c>
      <x:c r="B418" s="50" t="str">
        <x:v>Virieu-le-Grand – Belley</x:v>
      </x:c>
      <x:c r="C418" s="51" t="n">
        <x:v>21</x:v>
      </x:c>
      <x:c r="D418" s="50" t="str">
        <x:v>Enfant 4–11 ans</x:v>
      </x:c>
      <x:c r="E418" s="50" t="str">
        <x:v>Carte Famille Militaire</x:v>
      </x:c>
      <x:c r="F418" s="52" t="n">
        <x:v>1.8</x:v>
      </x:c>
      <x:c r="G418" s="52" t="n">
        <x:v>2.7</x:v>
      </x:c>
      <x:c r="H418" s="60" t="n">
        <x:f>G418-F418</x:f>
        <x:v>0.9000000000000001</x:v>
      </x:c>
      <x:c r="I418" s="50" t="str">
        <x:v>child-family-military</x:v>
      </x:c>
      <x:c r="J418" s="50" t="str">
        <x:v>tenay-hauteville|virieu-le-grand-belley</x:v>
      </x:c>
    </x:row>
    <x:row r="419">
      <x:c r="A419" s="50" t="str">
        <x:v>Tenay-Hauteville</x:v>
      </x:c>
      <x:c r="B419" s="50" t="str">
        <x:v>Virieu-le-Grand – Belley</x:v>
      </x:c>
      <x:c r="C419" s="51" t="n">
        <x:v>21</x:v>
      </x:c>
      <x:c r="D419" s="50" t="str">
        <x:v>Enfant 4–11 ans</x:v>
      </x:c>
      <x:c r="E419" s="50" t="str">
        <x:v>Carte Familles Nombreuses (-30 %)</x:v>
      </x:c>
      <x:c r="F419" s="52" t="n">
        <x:v>1.7</x:v>
      </x:c>
      <x:c r="G419" s="52" t="n">
        <x:v>2.9</x:v>
      </x:c>
      <x:c r="H419" s="60" t="n">
        <x:f>G419-F419</x:f>
        <x:v>1.2</x:v>
      </x:c>
      <x:c r="I419" s="50" t="str">
        <x:v>child-famille-nombreuse-30</x:v>
      </x:c>
      <x:c r="J419" s="50" t="str">
        <x:v>tenay-hauteville|virieu-le-grand-belley</x:v>
      </x:c>
    </x:row>
    <x:row r="420">
      <x:c r="A420" s="50" t="str">
        <x:v>Tenay-Hauteville</x:v>
      </x:c>
      <x:c r="B420" s="50" t="str">
        <x:v>Virieu-le-Grand – Belley</x:v>
      </x:c>
      <x:c r="C420" s="51" t="n">
        <x:v>21</x:v>
      </x:c>
      <x:c r="D420" s="50" t="str">
        <x:v>Enfant 4–11 ans</x:v>
      </x:c>
      <x:c r="E420" s="50" t="str">
        <x:v>Carte Familles Nombreuses (-40 %)</x:v>
      </x:c>
      <x:c r="F420" s="52" t="n">
        <x:v>1.5</x:v>
      </x:c>
      <x:c r="G420" s="52" t="n">
        <x:v>2.7</x:v>
      </x:c>
      <x:c r="H420" s="60" t="n">
        <x:f>G420-F420</x:f>
        <x:v>1.2000000000000002</x:v>
      </x:c>
      <x:c r="I420" s="50" t="str">
        <x:v>child-famille-nombreuse-40</x:v>
      </x:c>
      <x:c r="J420" s="50" t="str">
        <x:v>tenay-hauteville|virieu-le-grand-belley</x:v>
      </x:c>
    </x:row>
    <x:row r="421">
      <x:c r="A421" s="50" t="str">
        <x:v>Tenay-Hauteville</x:v>
      </x:c>
      <x:c r="B421" s="50" t="str">
        <x:v>Virieu-le-Grand – Belley</x:v>
      </x:c>
      <x:c r="C421" s="51" t="n">
        <x:v>21</x:v>
      </x:c>
      <x:c r="D421" s="50" t="str">
        <x:v>Enfant 4–11 ans</x:v>
      </x:c>
      <x:c r="E421" s="50" t="str">
        <x:v>Carte Familles Nombreuses (-50 %)</x:v>
      </x:c>
      <x:c r="F421" s="52" t="n">
        <x:v>1.2</x:v>
      </x:c>
      <x:c r="G421" s="52" t="n">
        <x:v>2.4</x:v>
      </x:c>
      <x:c r="H421" s="60" t="n">
        <x:f>G421-F421</x:f>
        <x:v>1.2</x:v>
      </x:c>
      <x:c r="I421" s="50" t="str">
        <x:v>child-famille-nombreuse-50</x:v>
      </x:c>
      <x:c r="J421" s="50" t="str">
        <x:v>tenay-hauteville|virieu-le-grand-belley</x:v>
      </x:c>
    </x:row>
    <x:row r="422">
      <x:c r="A422" s="50" t="str">
        <x:v>Tenay-Hauteville</x:v>
      </x:c>
      <x:c r="B422" s="50" t="str">
        <x:v>Virieu-le-Grand – Belley</x:v>
      </x:c>
      <x:c r="C422" s="51" t="n">
        <x:v>21</x:v>
      </x:c>
      <x:c r="D422" s="50" t="str">
        <x:v>Enfant 4–11 ans</x:v>
      </x:c>
      <x:c r="E422" s="50" t="str">
        <x:v>Carte Familles Nombreuses (-75 %)</x:v>
      </x:c>
      <x:c r="F422" s="52" t="n">
        <x:v>1.2</x:v>
      </x:c>
      <x:c r="G422" s="52" t="n">
        <x:v>1.8</x:v>
      </x:c>
      <x:c r="H422" s="60" t="n">
        <x:f>G422-F422</x:f>
        <x:v>0.6000000000000001</x:v>
      </x:c>
      <x:c r="I422" s="50" t="str">
        <x:v>child-famille-nombreuse-75</x:v>
      </x:c>
      <x:c r="J422" s="50" t="str">
        <x:v>tenay-hauteville|virieu-le-grand-belley</x:v>
      </x:c>
    </x:row>
    <x:row r="423">
      <x:c r="A423" s="50" t="str">
        <x:v>Tenay-Hauteville</x:v>
      </x:c>
      <x:c r="B423" s="50" t="str">
        <x:v>Culoz</x:v>
      </x:c>
      <x:c r="C423" s="51" t="n">
        <x:v>32</x:v>
      </x:c>
      <x:c r="D423" s="50" t="str">
        <x:v>Adulte</x:v>
      </x:c>
      <x:c r="E423" s="50" t="str">
        <x:v>Aucune — Plein tarif</x:v>
      </x:c>
      <x:c r="F423" s="52" t="n">
        <x:v>9</x:v>
      </x:c>
      <x:c r="G423" s="52" t="n">
        <x:v>13.7</x:v>
      </x:c>
      <x:c r="H423" s="60" t="n">
        <x:f>G423-F423</x:f>
        <x:v>4.699999999999999</x:v>
      </x:c>
      <x:c r="I423" s="50" t="str">
        <x:v>adult-none</x:v>
      </x:c>
      <x:c r="J423" s="50" t="str">
        <x:v>tenay-hauteville|culoz</x:v>
      </x:c>
    </x:row>
    <x:row r="424">
      <x:c r="A424" s="50" t="str">
        <x:v>Tenay-Hauteville</x:v>
      </x:c>
      <x:c r="B424" s="50" t="str">
        <x:v>Culoz</x:v>
      </x:c>
      <x:c r="C424" s="51" t="n">
        <x:v>32</x:v>
      </x:c>
      <x:c r="D424" s="50" t="str">
        <x:v>Adulte</x:v>
      </x:c>
      <x:c r="E424" s="50" t="str">
        <x:v>illico LIBERTÉ — Semaine (-25 %)</x:v>
      </x:c>
      <x:c r="F424" s="52" t="n">
        <x:v>6.8</x:v>
      </x:c>
      <x:c r="G424" s="52" t="n">
        <x:v>10.3</x:v>
      </x:c>
      <x:c r="H424" s="60" t="n">
        <x:f>G424-F424</x:f>
        <x:v>3.500000000000001</x:v>
      </x:c>
      <x:c r="I424" s="50" t="str">
        <x:v>adult-illico-liberte-weekday</x:v>
      </x:c>
      <x:c r="J424" s="50" t="str">
        <x:v>tenay-hauteville|culoz</x:v>
      </x:c>
    </x:row>
    <x:row r="425">
      <x:c r="A425" s="50" t="str">
        <x:v>Tenay-Hauteville</x:v>
      </x:c>
      <x:c r="B425" s="50" t="str">
        <x:v>Culoz</x:v>
      </x:c>
      <x:c r="C425" s="51" t="n">
        <x:v>32</x:v>
      </x:c>
      <x:c r="D425" s="50" t="str">
        <x:v>Adulte</x:v>
      </x:c>
      <x:c r="E425" s="50" t="str">
        <x:v>illico LIBERTÉ — Week-end / Jour férié (-50 %)</x:v>
      </x:c>
      <x:c r="F425" s="52" t="n">
        <x:v>4.5</x:v>
      </x:c>
      <x:c r="G425" s="52" t="n">
        <x:v>6.9</x:v>
      </x:c>
      <x:c r="H425" s="60" t="n">
        <x:f>G425-F425</x:f>
        <x:v>2.4000000000000004</x:v>
      </x:c>
      <x:c r="I425" s="50" t="str">
        <x:v>adult-illico-liberte-weekend</x:v>
      </x:c>
      <x:c r="J425" s="50" t="str">
        <x:v>tenay-hauteville|culoz</x:v>
      </x:c>
    </x:row>
    <x:row r="426">
      <x:c r="A426" s="50" t="str">
        <x:v>Tenay-Hauteville</x:v>
      </x:c>
      <x:c r="B426" s="50" t="str">
        <x:v>Culoz</x:v>
      </x:c>
      <x:c r="C426" s="51" t="n">
        <x:v>32</x:v>
      </x:c>
      <x:c r="D426" s="50" t="str">
        <x:v>Adulte</x:v>
      </x:c>
      <x:c r="E426" s="50" t="str">
        <x:v>illico LIBERTÉ — Accompagnant, Week-end / Jour férié (-50 %)</x:v>
      </x:c>
      <x:c r="F426" s="52" t="n">
        <x:v>4.5</x:v>
      </x:c>
      <x:c r="G426" s="52" t="n">
        <x:v>6.9</x:v>
      </x:c>
      <x:c r="H426" s="60" t="n">
        <x:f>G426-F426</x:f>
        <x:v>2.4000000000000004</x:v>
      </x:c>
      <x:c r="I426" s="50" t="str">
        <x:v>adult-illico-liberte-weekend-companion</x:v>
      </x:c>
      <x:c r="J426" s="50" t="str">
        <x:v>tenay-hauteville|culoz</x:v>
      </x:c>
    </x:row>
    <x:row r="427">
      <x:c r="A427" s="50" t="str">
        <x:v>Tenay-Hauteville</x:v>
      </x:c>
      <x:c r="B427" s="50" t="str">
        <x:v>Culoz</x:v>
      </x:c>
      <x:c r="C427" s="51" t="n">
        <x:v>32</x:v>
      </x:c>
      <x:c r="D427" s="50" t="str">
        <x:v>Adulte</x:v>
      </x:c>
      <x:c r="E427" s="50" t="str">
        <x:v>illico LIBERTÉ JEUNES (-50 %)</x:v>
      </x:c>
      <x:c r="F427" s="52" t="n">
        <x:v>4.5</x:v>
      </x:c>
      <x:c r="G427" s="52" t="n">
        <x:v>6.9</x:v>
      </x:c>
      <x:c r="H427" s="60" t="n">
        <x:f>G427-F427</x:f>
        <x:v>2.4000000000000004</x:v>
      </x:c>
      <x:c r="I427" s="50" t="str">
        <x:v>adult-illico-jeunes</x:v>
      </x:c>
      <x:c r="J427" s="50" t="str">
        <x:v>tenay-hauteville|culoz</x:v>
      </x:c>
    </x:row>
    <x:row r="428">
      <x:c r="A428" s="50" t="str">
        <x:v>Tenay-Hauteville</x:v>
      </x:c>
      <x:c r="B428" s="50" t="str">
        <x:v>Culoz</x:v>
      </x:c>
      <x:c r="C428" s="51" t="n">
        <x:v>32</x:v>
      </x:c>
      <x:c r="D428" s="50" t="str">
        <x:v>Adulte</x:v>
      </x:c>
      <x:c r="E428" s="50" t="str">
        <x:v>Carte Liberté SNCF (-25 %)</x:v>
      </x:c>
      <x:c r="F428" s="52" t="n">
        <x:v>6.8</x:v>
      </x:c>
      <x:c r="G428" s="52" t="n">
        <x:v>10.3</x:v>
      </x:c>
      <x:c r="H428" s="60" t="n">
        <x:f>G428-F428</x:f>
        <x:v>3.500000000000001</x:v>
      </x:c>
      <x:c r="I428" s="50" t="str">
        <x:v>adult-liberte-nationale</x:v>
      </x:c>
      <x:c r="J428" s="50" t="str">
        <x:v>tenay-hauteville|culoz</x:v>
      </x:c>
    </x:row>
    <x:row r="429">
      <x:c r="A429" s="50" t="str">
        <x:v>Tenay-Hauteville</x:v>
      </x:c>
      <x:c r="B429" s="50" t="str">
        <x:v>Culoz</x:v>
      </x:c>
      <x:c r="C429" s="51" t="n">
        <x:v>32</x:v>
      </x:c>
      <x:c r="D429" s="50" t="str">
        <x:v>Adulte</x:v>
      </x:c>
      <x:c r="E429" s="50" t="str">
        <x:v>Carte Familles Nombreuses (-30 %)</x:v>
      </x:c>
      <x:c r="F429" s="52" t="n">
        <x:v>5.2</x:v>
      </x:c>
      <x:c r="G429" s="52" t="n">
        <x:v>8.9</x:v>
      </x:c>
      <x:c r="H429" s="60" t="n">
        <x:f>G429-F429</x:f>
        <x:v>3.7</x:v>
      </x:c>
      <x:c r="I429" s="50" t="str">
        <x:v>adult-famille-nombreuse-30</x:v>
      </x:c>
      <x:c r="J429" s="50" t="str">
        <x:v>tenay-hauteville|culoz</x:v>
      </x:c>
    </x:row>
    <x:row r="430">
      <x:c r="A430" s="50" t="str">
        <x:v>Tenay-Hauteville</x:v>
      </x:c>
      <x:c r="B430" s="50" t="str">
        <x:v>Culoz</x:v>
      </x:c>
      <x:c r="C430" s="51" t="n">
        <x:v>32</x:v>
      </x:c>
      <x:c r="D430" s="50" t="str">
        <x:v>Adulte</x:v>
      </x:c>
      <x:c r="E430" s="50" t="str">
        <x:v>Carte Familles Nombreuses (-40 %)</x:v>
      </x:c>
      <x:c r="F430" s="52" t="n">
        <x:v>4.5</x:v>
      </x:c>
      <x:c r="G430" s="52" t="n">
        <x:v>8.2</x:v>
      </x:c>
      <x:c r="H430" s="60" t="n">
        <x:f>G430-F430</x:f>
        <x:v>3.6999999999999993</x:v>
      </x:c>
      <x:c r="I430" s="50" t="str">
        <x:v>adult-famille-nombreuse-40</x:v>
      </x:c>
      <x:c r="J430" s="50" t="str">
        <x:v>tenay-hauteville|culoz</x:v>
      </x:c>
    </x:row>
    <x:row r="431">
      <x:c r="A431" s="50" t="str">
        <x:v>Tenay-Hauteville</x:v>
      </x:c>
      <x:c r="B431" s="50" t="str">
        <x:v>Culoz</x:v>
      </x:c>
      <x:c r="C431" s="51" t="n">
        <x:v>32</x:v>
      </x:c>
      <x:c r="D431" s="50" t="str">
        <x:v>Adulte</x:v>
      </x:c>
      <x:c r="E431" s="50" t="str">
        <x:v>Carte Familles Nombreuses (-50 %)</x:v>
      </x:c>
      <x:c r="F431" s="52" t="n">
        <x:v>3.7</x:v>
      </x:c>
      <x:c r="G431" s="52" t="n">
        <x:v>7.4</x:v>
      </x:c>
      <x:c r="H431" s="60" t="n">
        <x:f>G431-F431</x:f>
        <x:v>3.7</x:v>
      </x:c>
      <x:c r="I431" s="50" t="str">
        <x:v>adult-famille-nombreuse-50</x:v>
      </x:c>
      <x:c r="J431" s="50" t="str">
        <x:v>tenay-hauteville|culoz</x:v>
      </x:c>
    </x:row>
    <x:row r="432">
      <x:c r="A432" s="50" t="str">
        <x:v>Tenay-Hauteville</x:v>
      </x:c>
      <x:c r="B432" s="50" t="str">
        <x:v>Culoz</x:v>
      </x:c>
      <x:c r="C432" s="51" t="n">
        <x:v>32</x:v>
      </x:c>
      <x:c r="D432" s="50" t="str">
        <x:v>Adulte</x:v>
      </x:c>
      <x:c r="E432" s="50" t="str">
        <x:v>Carte Familles Nombreuses (-75 %)</x:v>
      </x:c>
      <x:c r="F432" s="52" t="n">
        <x:v>1.9</x:v>
      </x:c>
      <x:c r="G432" s="52" t="n">
        <x:v>5.6</x:v>
      </x:c>
      <x:c r="H432" s="60" t="n">
        <x:f>G432-F432</x:f>
        <x:v>3.6999999999999997</x:v>
      </x:c>
      <x:c r="I432" s="50" t="str">
        <x:v>adult-famille-nombreuse-75</x:v>
      </x:c>
      <x:c r="J432" s="50" t="str">
        <x:v>tenay-hauteville|culoz</x:v>
      </x:c>
    </x:row>
    <x:row r="433">
      <x:c r="A433" s="50" t="str">
        <x:v>Tenay-Hauteville</x:v>
      </x:c>
      <x:c r="B433" s="50" t="str">
        <x:v>Culoz</x:v>
      </x:c>
      <x:c r="C433" s="51" t="n">
        <x:v>32</x:v>
      </x:c>
      <x:c r="D433" s="50" t="str">
        <x:v>Adulte</x:v>
      </x:c>
      <x:c r="E433" s="50" t="str">
        <x:v>Carte Militaire (-75 %)</x:v>
      </x:c>
      <x:c r="F433" s="52" t="n">
        <x:v>1.9</x:v>
      </x:c>
      <x:c r="G433" s="52" t="n">
        <x:v>5.6</x:v>
      </x:c>
      <x:c r="H433" s="60" t="n">
        <x:f>G433-F433</x:f>
        <x:v>3.6999999999999997</x:v>
      </x:c>
      <x:c r="I433" s="50" t="str">
        <x:v>adult-military</x:v>
      </x:c>
      <x:c r="J433" s="50" t="str">
        <x:v>tenay-hauteville|culoz</x:v>
      </x:c>
    </x:row>
    <x:row r="434">
      <x:c r="A434" s="50" t="str">
        <x:v>Tenay-Hauteville</x:v>
      </x:c>
      <x:c r="B434" s="50" t="str">
        <x:v>Culoz</x:v>
      </x:c>
      <x:c r="C434" s="51" t="n">
        <x:v>32</x:v>
      </x:c>
      <x:c r="D434" s="50" t="str">
        <x:v>Adulte</x:v>
      </x:c>
      <x:c r="E434" s="50" t="str">
        <x:v>Carte Famille Militaire (-40 %)</x:v>
      </x:c>
      <x:c r="F434" s="52" t="n">
        <x:v>5.4</x:v>
      </x:c>
      <x:c r="G434" s="52" t="n">
        <x:v>8.3</x:v>
      </x:c>
      <x:c r="H434" s="60" t="n">
        <x:f>G434-F434</x:f>
        <x:v>2.9000000000000004</x:v>
      </x:c>
      <x:c r="I434" s="50" t="str">
        <x:v>adult-family-military</x:v>
      </x:c>
      <x:c r="J434" s="50" t="str">
        <x:v>tenay-hauteville|culoz</x:v>
      </x:c>
    </x:row>
    <x:row r="435">
      <x:c r="A435" s="50" t="str">
        <x:v>Tenay-Hauteville</x:v>
      </x:c>
      <x:c r="B435" s="50" t="str">
        <x:v>Culoz</x:v>
      </x:c>
      <x:c r="C435" s="51" t="n">
        <x:v>32</x:v>
      </x:c>
      <x:c r="D435" s="50" t="str">
        <x:v>Enfant 4–11 ans</x:v>
      </x:c>
      <x:c r="E435" s="50" t="str">
        <x:v>Aucune — Tarif Enfant 4–11 ans</x:v>
      </x:c>
      <x:c r="F435" s="52" t="n">
        <x:v>4.5</x:v>
      </x:c>
      <x:c r="G435" s="52" t="n">
        <x:v>6.9</x:v>
      </x:c>
      <x:c r="H435" s="60" t="n">
        <x:f>G435-F435</x:f>
        <x:v>2.4000000000000004</x:v>
      </x:c>
      <x:c r="I435" s="50" t="str">
        <x:v>child-none</x:v>
      </x:c>
      <x:c r="J435" s="50" t="str">
        <x:v>tenay-hauteville|culoz</x:v>
      </x:c>
    </x:row>
    <x:row r="436">
      <x:c r="A436" s="50" t="str">
        <x:v>Tenay-Hauteville</x:v>
      </x:c>
      <x:c r="B436" s="50" t="str">
        <x:v>Culoz</x:v>
      </x:c>
      <x:c r="C436" s="51" t="n">
        <x:v>32</x:v>
      </x:c>
      <x:c r="D436" s="50" t="str">
        <x:v>Enfant 4–11 ans</x:v>
      </x:c>
      <x:c r="E436" s="50" t="str">
        <x:v>illico LIBERTÉ — Accompagnant, Week-end / Jour férié</x:v>
      </x:c>
      <x:c r="F436" s="52" t="n">
        <x:v>2.3</x:v>
      </x:c>
      <x:c r="G436" s="52" t="n">
        <x:v>3.5</x:v>
      </x:c>
      <x:c r="H436" s="60" t="n">
        <x:f>G436-F436</x:f>
        <x:v>1.2000000000000002</x:v>
      </x:c>
      <x:c r="I436" s="50" t="str">
        <x:v>child-illico-liberte-weekend-companion</x:v>
      </x:c>
      <x:c r="J436" s="50" t="str">
        <x:v>tenay-hauteville|culoz</x:v>
      </x:c>
    </x:row>
    <x:row r="437">
      <x:c r="A437" s="50" t="str">
        <x:v>Tenay-Hauteville</x:v>
      </x:c>
      <x:c r="B437" s="50" t="str">
        <x:v>Culoz</x:v>
      </x:c>
      <x:c r="C437" s="51" t="n">
        <x:v>32</x:v>
      </x:c>
      <x:c r="D437" s="50" t="str">
        <x:v>Enfant 4–11 ans</x:v>
      </x:c>
      <x:c r="E437" s="50" t="str">
        <x:v>Carte Famille Militaire</x:v>
      </x:c>
      <x:c r="F437" s="52" t="n">
        <x:v>2.7</x:v>
      </x:c>
      <x:c r="G437" s="52" t="n">
        <x:v>4.2</x:v>
      </x:c>
      <x:c r="H437" s="60" t="n">
        <x:f>G437-F437</x:f>
        <x:v>1.5</x:v>
      </x:c>
      <x:c r="I437" s="50" t="str">
        <x:v>child-family-military</x:v>
      </x:c>
      <x:c r="J437" s="50" t="str">
        <x:v>tenay-hauteville|culoz</x:v>
      </x:c>
    </x:row>
    <x:row r="438">
      <x:c r="A438" s="50" t="str">
        <x:v>Tenay-Hauteville</x:v>
      </x:c>
      <x:c r="B438" s="50" t="str">
        <x:v>Culoz</x:v>
      </x:c>
      <x:c r="C438" s="51" t="n">
        <x:v>32</x:v>
      </x:c>
      <x:c r="D438" s="50" t="str">
        <x:v>Enfant 4–11 ans</x:v>
      </x:c>
      <x:c r="E438" s="50" t="str">
        <x:v>Carte Familles Nombreuses (-30 %)</x:v>
      </x:c>
      <x:c r="F438" s="52" t="n">
        <x:v>2.6</x:v>
      </x:c>
      <x:c r="G438" s="52" t="n">
        <x:v>4.5</x:v>
      </x:c>
      <x:c r="H438" s="60" t="n">
        <x:f>G438-F438</x:f>
        <x:v>1.9</x:v>
      </x:c>
      <x:c r="I438" s="50" t="str">
        <x:v>child-famille-nombreuse-30</x:v>
      </x:c>
      <x:c r="J438" s="50" t="str">
        <x:v>tenay-hauteville|culoz</x:v>
      </x:c>
    </x:row>
    <x:row r="439">
      <x:c r="A439" s="50" t="str">
        <x:v>Tenay-Hauteville</x:v>
      </x:c>
      <x:c r="B439" s="50" t="str">
        <x:v>Culoz</x:v>
      </x:c>
      <x:c r="C439" s="51" t="n">
        <x:v>32</x:v>
      </x:c>
      <x:c r="D439" s="50" t="str">
        <x:v>Enfant 4–11 ans</x:v>
      </x:c>
      <x:c r="E439" s="50" t="str">
        <x:v>Carte Familles Nombreuses (-40 %)</x:v>
      </x:c>
      <x:c r="F439" s="52" t="n">
        <x:v>2.3</x:v>
      </x:c>
      <x:c r="G439" s="52" t="n">
        <x:v>4.1</x:v>
      </x:c>
      <x:c r="H439" s="60" t="n">
        <x:f>G439-F439</x:f>
        <x:v>1.7999999999999998</x:v>
      </x:c>
      <x:c r="I439" s="50" t="str">
        <x:v>child-famille-nombreuse-40</x:v>
      </x:c>
      <x:c r="J439" s="50" t="str">
        <x:v>tenay-hauteville|culoz</x:v>
      </x:c>
    </x:row>
    <x:row r="440">
      <x:c r="A440" s="50" t="str">
        <x:v>Tenay-Hauteville</x:v>
      </x:c>
      <x:c r="B440" s="50" t="str">
        <x:v>Culoz</x:v>
      </x:c>
      <x:c r="C440" s="51" t="n">
        <x:v>32</x:v>
      </x:c>
      <x:c r="D440" s="50" t="str">
        <x:v>Enfant 4–11 ans</x:v>
      </x:c>
      <x:c r="E440" s="50" t="str">
        <x:v>Carte Familles Nombreuses (-50 %)</x:v>
      </x:c>
      <x:c r="F440" s="52" t="n">
        <x:v>1.9</x:v>
      </x:c>
      <x:c r="G440" s="52" t="n">
        <x:v>3.7</x:v>
      </x:c>
      <x:c r="H440" s="60" t="n">
        <x:f>G440-F440</x:f>
        <x:v>1.8000000000000003</x:v>
      </x:c>
      <x:c r="I440" s="50" t="str">
        <x:v>child-famille-nombreuse-50</x:v>
      </x:c>
      <x:c r="J440" s="50" t="str">
        <x:v>tenay-hauteville|culoz</x:v>
      </x:c>
    </x:row>
    <x:row r="441">
      <x:c r="A441" s="50" t="str">
        <x:v>Tenay-Hauteville</x:v>
      </x:c>
      <x:c r="B441" s="50" t="str">
        <x:v>Culoz</x:v>
      </x:c>
      <x:c r="C441" s="51" t="n">
        <x:v>32</x:v>
      </x:c>
      <x:c r="D441" s="50" t="str">
        <x:v>Enfant 4–11 ans</x:v>
      </x:c>
      <x:c r="E441" s="50" t="str">
        <x:v>Carte Familles Nombreuses (-75 %)</x:v>
      </x:c>
      <x:c r="F441" s="52" t="n">
        <x:v>1.2</x:v>
      </x:c>
      <x:c r="G441" s="52" t="n">
        <x:v>2.8</x:v>
      </x:c>
      <x:c r="H441" s="60" t="n">
        <x:f>G441-F441</x:f>
        <x:v>1.5999999999999999</x:v>
      </x:c>
      <x:c r="I441" s="50" t="str">
        <x:v>child-famille-nombreuse-75</x:v>
      </x:c>
      <x:c r="J441" s="50" t="str">
        <x:v>tenay-hauteville|culoz</x:v>
      </x:c>
    </x:row>
    <x:row r="442">
      <x:c r="A442" s="50" t="str">
        <x:v>Tenay-Hauteville</x:v>
      </x:c>
      <x:c r="B442" s="50" t="str">
        <x:v>Seyssel – Corbonod</x:v>
      </x:c>
      <x:c r="C442" s="51" t="n">
        <x:v>47</x:v>
      </x:c>
      <x:c r="D442" s="50" t="str">
        <x:v>Adulte</x:v>
      </x:c>
      <x:c r="E442" s="50" t="str">
        <x:v>Aucune — Plein tarif</x:v>
      </x:c>
      <x:c r="F442" s="52" t="n">
        <x:v>12</x:v>
      </x:c>
      <x:c r="G442" s="52" t="n">
        <x:v>18.2</x:v>
      </x:c>
      <x:c r="H442" s="60" t="n">
        <x:f>G442-F442</x:f>
        <x:v>6.199999999999999</x:v>
      </x:c>
      <x:c r="I442" s="50" t="str">
        <x:v>adult-none</x:v>
      </x:c>
      <x:c r="J442" s="50" t="str">
        <x:v>tenay-hauteville|seyssel-corbonod</x:v>
      </x:c>
    </x:row>
    <x:row r="443">
      <x:c r="A443" s="50" t="str">
        <x:v>Tenay-Hauteville</x:v>
      </x:c>
      <x:c r="B443" s="50" t="str">
        <x:v>Seyssel – Corbonod</x:v>
      </x:c>
      <x:c r="C443" s="51" t="n">
        <x:v>47</x:v>
      </x:c>
      <x:c r="D443" s="50" t="str">
        <x:v>Adulte</x:v>
      </x:c>
      <x:c r="E443" s="50" t="str">
        <x:v>illico LIBERTÉ — Semaine (-25 %)</x:v>
      </x:c>
      <x:c r="F443" s="52" t="n">
        <x:v>9</x:v>
      </x:c>
      <x:c r="G443" s="52" t="n">
        <x:v>13.7</x:v>
      </x:c>
      <x:c r="H443" s="60" t="n">
        <x:f>G443-F443</x:f>
        <x:v>4.699999999999999</x:v>
      </x:c>
      <x:c r="I443" s="50" t="str">
        <x:v>adult-illico-liberte-weekday</x:v>
      </x:c>
      <x:c r="J443" s="50" t="str">
        <x:v>tenay-hauteville|seyssel-corbonod</x:v>
      </x:c>
    </x:row>
    <x:row r="444">
      <x:c r="A444" s="50" t="str">
        <x:v>Tenay-Hauteville</x:v>
      </x:c>
      <x:c r="B444" s="50" t="str">
        <x:v>Seyssel – Corbonod</x:v>
      </x:c>
      <x:c r="C444" s="51" t="n">
        <x:v>47</x:v>
      </x:c>
      <x:c r="D444" s="50" t="str">
        <x:v>Adulte</x:v>
      </x:c>
      <x:c r="E444" s="50" t="str">
        <x:v>illico LIBERTÉ — Week-end / Jour férié (-50 %)</x:v>
      </x:c>
      <x:c r="F444" s="52" t="n">
        <x:v>6</x:v>
      </x:c>
      <x:c r="G444" s="52" t="n">
        <x:v>9.1</x:v>
      </x:c>
      <x:c r="H444" s="60" t="n">
        <x:f>G444-F444</x:f>
        <x:v>3.0999999999999996</x:v>
      </x:c>
      <x:c r="I444" s="50" t="str">
        <x:v>adult-illico-liberte-weekend</x:v>
      </x:c>
      <x:c r="J444" s="50" t="str">
        <x:v>tenay-hauteville|seyssel-corbonod</x:v>
      </x:c>
    </x:row>
    <x:row r="445">
      <x:c r="A445" s="50" t="str">
        <x:v>Tenay-Hauteville</x:v>
      </x:c>
      <x:c r="B445" s="50" t="str">
        <x:v>Seyssel – Corbonod</x:v>
      </x:c>
      <x:c r="C445" s="51" t="n">
        <x:v>47</x:v>
      </x:c>
      <x:c r="D445" s="50" t="str">
        <x:v>Adulte</x:v>
      </x:c>
      <x:c r="E445" s="50" t="str">
        <x:v>illico LIBERTÉ — Accompagnant, Week-end / Jour férié (-50 %)</x:v>
      </x:c>
      <x:c r="F445" s="52" t="n">
        <x:v>6</x:v>
      </x:c>
      <x:c r="G445" s="52" t="n">
        <x:v>9.1</x:v>
      </x:c>
      <x:c r="H445" s="60" t="n">
        <x:f>G445-F445</x:f>
        <x:v>3.0999999999999996</x:v>
      </x:c>
      <x:c r="I445" s="50" t="str">
        <x:v>adult-illico-liberte-weekend-companion</x:v>
      </x:c>
      <x:c r="J445" s="50" t="str">
        <x:v>tenay-hauteville|seyssel-corbonod</x:v>
      </x:c>
    </x:row>
    <x:row r="446">
      <x:c r="A446" s="50" t="str">
        <x:v>Tenay-Hauteville</x:v>
      </x:c>
      <x:c r="B446" s="50" t="str">
        <x:v>Seyssel – Corbonod</x:v>
      </x:c>
      <x:c r="C446" s="51" t="n">
        <x:v>47</x:v>
      </x:c>
      <x:c r="D446" s="50" t="str">
        <x:v>Adulte</x:v>
      </x:c>
      <x:c r="E446" s="50" t="str">
        <x:v>illico LIBERTÉ JEUNES (-50 %)</x:v>
      </x:c>
      <x:c r="F446" s="52" t="n">
        <x:v>6</x:v>
      </x:c>
      <x:c r="G446" s="52" t="n">
        <x:v>9.1</x:v>
      </x:c>
      <x:c r="H446" s="60" t="n">
        <x:f>G446-F446</x:f>
        <x:v>3.0999999999999996</x:v>
      </x:c>
      <x:c r="I446" s="50" t="str">
        <x:v>adult-illico-jeunes</x:v>
      </x:c>
      <x:c r="J446" s="50" t="str">
        <x:v>tenay-hauteville|seyssel-corbonod</x:v>
      </x:c>
    </x:row>
    <x:row r="447">
      <x:c r="A447" s="50" t="str">
        <x:v>Tenay-Hauteville</x:v>
      </x:c>
      <x:c r="B447" s="50" t="str">
        <x:v>Seyssel – Corbonod</x:v>
      </x:c>
      <x:c r="C447" s="51" t="n">
        <x:v>47</x:v>
      </x:c>
      <x:c r="D447" s="50" t="str">
        <x:v>Adulte</x:v>
      </x:c>
      <x:c r="E447" s="50" t="str">
        <x:v>Carte Liberté SNCF (-25 %)</x:v>
      </x:c>
      <x:c r="F447" s="52" t="n">
        <x:v>9</x:v>
      </x:c>
      <x:c r="G447" s="52" t="n">
        <x:v>13.7</x:v>
      </x:c>
      <x:c r="H447" s="60" t="n">
        <x:f>G447-F447</x:f>
        <x:v>4.699999999999999</x:v>
      </x:c>
      <x:c r="I447" s="50" t="str">
        <x:v>adult-liberte-nationale</x:v>
      </x:c>
      <x:c r="J447" s="50" t="str">
        <x:v>tenay-hauteville|seyssel-corbonod</x:v>
      </x:c>
    </x:row>
    <x:row r="448">
      <x:c r="A448" s="50" t="str">
        <x:v>Tenay-Hauteville</x:v>
      </x:c>
      <x:c r="B448" s="50" t="str">
        <x:v>Seyssel – Corbonod</x:v>
      </x:c>
      <x:c r="C448" s="51" t="n">
        <x:v>47</x:v>
      </x:c>
      <x:c r="D448" s="50" t="str">
        <x:v>Adulte</x:v>
      </x:c>
      <x:c r="E448" s="50" t="str">
        <x:v>Carte Familles Nombreuses (-30 %)</x:v>
      </x:c>
      <x:c r="F448" s="52" t="n">
        <x:v>6.9</x:v>
      </x:c>
      <x:c r="G448" s="52" t="n">
        <x:v>11.7</x:v>
      </x:c>
      <x:c r="H448" s="60" t="n">
        <x:f>G448-F448</x:f>
        <x:v>4.799999999999999</x:v>
      </x:c>
      <x:c r="I448" s="50" t="str">
        <x:v>adult-famille-nombreuse-30</x:v>
      </x:c>
      <x:c r="J448" s="50" t="str">
        <x:v>tenay-hauteville|seyssel-corbonod</x:v>
      </x:c>
    </x:row>
    <x:row r="449">
      <x:c r="A449" s="50" t="str">
        <x:v>Tenay-Hauteville</x:v>
      </x:c>
      <x:c r="B449" s="50" t="str">
        <x:v>Seyssel – Corbonod</x:v>
      </x:c>
      <x:c r="C449" s="51" t="n">
        <x:v>47</x:v>
      </x:c>
      <x:c r="D449" s="50" t="str">
        <x:v>Adulte</x:v>
      </x:c>
      <x:c r="E449" s="50" t="str">
        <x:v>Carte Familles Nombreuses (-40 %)</x:v>
      </x:c>
      <x:c r="F449" s="52" t="n">
        <x:v>5.9</x:v>
      </x:c>
      <x:c r="G449" s="52" t="n">
        <x:v>10.7</x:v>
      </x:c>
      <x:c r="H449" s="60" t="n">
        <x:f>G449-F449</x:f>
        <x:v>4.799999999999999</x:v>
      </x:c>
      <x:c r="I449" s="50" t="str">
        <x:v>adult-famille-nombreuse-40</x:v>
      </x:c>
      <x:c r="J449" s="50" t="str">
        <x:v>tenay-hauteville|seyssel-corbonod</x:v>
      </x:c>
    </x:row>
    <x:row r="450">
      <x:c r="A450" s="50" t="str">
        <x:v>Tenay-Hauteville</x:v>
      </x:c>
      <x:c r="B450" s="50" t="str">
        <x:v>Seyssel – Corbonod</x:v>
      </x:c>
      <x:c r="C450" s="51" t="n">
        <x:v>47</x:v>
      </x:c>
      <x:c r="D450" s="50" t="str">
        <x:v>Adulte</x:v>
      </x:c>
      <x:c r="E450" s="50" t="str">
        <x:v>Carte Familles Nombreuses (-50 %)</x:v>
      </x:c>
      <x:c r="F450" s="52" t="n">
        <x:v>4.9</x:v>
      </x:c>
      <x:c r="G450" s="52" t="n">
        <x:v>9.7</x:v>
      </x:c>
      <x:c r="H450" s="60" t="n">
        <x:f>G450-F450</x:f>
        <x:v>4.799999999999999</x:v>
      </x:c>
      <x:c r="I450" s="50" t="str">
        <x:v>adult-famille-nombreuse-50</x:v>
      </x:c>
      <x:c r="J450" s="50" t="str">
        <x:v>tenay-hauteville|seyssel-corbonod</x:v>
      </x:c>
    </x:row>
    <x:row r="451">
      <x:c r="A451" s="50" t="str">
        <x:v>Tenay-Hauteville</x:v>
      </x:c>
      <x:c r="B451" s="50" t="str">
        <x:v>Seyssel – Corbonod</x:v>
      </x:c>
      <x:c r="C451" s="51" t="n">
        <x:v>47</x:v>
      </x:c>
      <x:c r="D451" s="50" t="str">
        <x:v>Adulte</x:v>
      </x:c>
      <x:c r="E451" s="50" t="str">
        <x:v>Carte Familles Nombreuses (-75 %)</x:v>
      </x:c>
      <x:c r="F451" s="52" t="n">
        <x:v>2.5</x:v>
      </x:c>
      <x:c r="G451" s="52" t="n">
        <x:v>7.3</x:v>
      </x:c>
      <x:c r="H451" s="60" t="n">
        <x:f>G451-F451</x:f>
        <x:v>4.8</x:v>
      </x:c>
      <x:c r="I451" s="50" t="str">
        <x:v>adult-famille-nombreuse-75</x:v>
      </x:c>
      <x:c r="J451" s="50" t="str">
        <x:v>tenay-hauteville|seyssel-corbonod</x:v>
      </x:c>
    </x:row>
    <x:row r="452">
      <x:c r="A452" s="50" t="str">
        <x:v>Tenay-Hauteville</x:v>
      </x:c>
      <x:c r="B452" s="50" t="str">
        <x:v>Seyssel – Corbonod</x:v>
      </x:c>
      <x:c r="C452" s="51" t="n">
        <x:v>47</x:v>
      </x:c>
      <x:c r="D452" s="50" t="str">
        <x:v>Adulte</x:v>
      </x:c>
      <x:c r="E452" s="50" t="str">
        <x:v>Carte Militaire (-75 %)</x:v>
      </x:c>
      <x:c r="F452" s="52" t="n">
        <x:v>2.5</x:v>
      </x:c>
      <x:c r="G452" s="52" t="n">
        <x:v>7.3</x:v>
      </x:c>
      <x:c r="H452" s="60" t="n">
        <x:f>G452-F452</x:f>
        <x:v>4.8</x:v>
      </x:c>
      <x:c r="I452" s="50" t="str">
        <x:v>adult-military</x:v>
      </x:c>
      <x:c r="J452" s="50" t="str">
        <x:v>tenay-hauteville|seyssel-corbonod</x:v>
      </x:c>
    </x:row>
    <x:row r="453">
      <x:c r="A453" s="50" t="str">
        <x:v>Tenay-Hauteville</x:v>
      </x:c>
      <x:c r="B453" s="50" t="str">
        <x:v>Seyssel – Corbonod</x:v>
      </x:c>
      <x:c r="C453" s="51" t="n">
        <x:v>47</x:v>
      </x:c>
      <x:c r="D453" s="50" t="str">
        <x:v>Adulte</x:v>
      </x:c>
      <x:c r="E453" s="50" t="str">
        <x:v>Carte Famille Militaire (-40 %)</x:v>
      </x:c>
      <x:c r="F453" s="52" t="n">
        <x:v>7.2</x:v>
      </x:c>
      <x:c r="G453" s="52" t="n">
        <x:v>11</x:v>
      </x:c>
      <x:c r="H453" s="60" t="n">
        <x:f>G453-F453</x:f>
        <x:v>3.8</x:v>
      </x:c>
      <x:c r="I453" s="50" t="str">
        <x:v>adult-family-military</x:v>
      </x:c>
      <x:c r="J453" s="50" t="str">
        <x:v>tenay-hauteville|seyssel-corbonod</x:v>
      </x:c>
    </x:row>
    <x:row r="454">
      <x:c r="A454" s="50" t="str">
        <x:v>Tenay-Hauteville</x:v>
      </x:c>
      <x:c r="B454" s="50" t="str">
        <x:v>Seyssel – Corbonod</x:v>
      </x:c>
      <x:c r="C454" s="51" t="n">
        <x:v>47</x:v>
      </x:c>
      <x:c r="D454" s="50" t="str">
        <x:v>Enfant 4–11 ans</x:v>
      </x:c>
      <x:c r="E454" s="50" t="str">
        <x:v>Aucune — Tarif Enfant 4–11 ans</x:v>
      </x:c>
      <x:c r="F454" s="52" t="n">
        <x:v>6</x:v>
      </x:c>
      <x:c r="G454" s="52" t="n">
        <x:v>9.1</x:v>
      </x:c>
      <x:c r="H454" s="60" t="n">
        <x:f>G454-F454</x:f>
        <x:v>3.0999999999999996</x:v>
      </x:c>
      <x:c r="I454" s="50" t="str">
        <x:v>child-none</x:v>
      </x:c>
      <x:c r="J454" s="50" t="str">
        <x:v>tenay-hauteville|seyssel-corbonod</x:v>
      </x:c>
    </x:row>
    <x:row r="455">
      <x:c r="A455" s="50" t="str">
        <x:v>Tenay-Hauteville</x:v>
      </x:c>
      <x:c r="B455" s="50" t="str">
        <x:v>Seyssel – Corbonod</x:v>
      </x:c>
      <x:c r="C455" s="51" t="n">
        <x:v>47</x:v>
      </x:c>
      <x:c r="D455" s="50" t="str">
        <x:v>Enfant 4–11 ans</x:v>
      </x:c>
      <x:c r="E455" s="50" t="str">
        <x:v>illico LIBERTÉ — Accompagnant, Week-end / Jour férié</x:v>
      </x:c>
      <x:c r="F455" s="52" t="n">
        <x:v>3</x:v>
      </x:c>
      <x:c r="G455" s="52" t="n">
        <x:v>4.6</x:v>
      </x:c>
      <x:c r="H455" s="60" t="n">
        <x:f>G455-F455</x:f>
        <x:v>1.5999999999999996</x:v>
      </x:c>
      <x:c r="I455" s="50" t="str">
        <x:v>child-illico-liberte-weekend-companion</x:v>
      </x:c>
      <x:c r="J455" s="50" t="str">
        <x:v>tenay-hauteville|seyssel-corbonod</x:v>
      </x:c>
    </x:row>
    <x:row r="456">
      <x:c r="A456" s="50" t="str">
        <x:v>Tenay-Hauteville</x:v>
      </x:c>
      <x:c r="B456" s="50" t="str">
        <x:v>Seyssel – Corbonod</x:v>
      </x:c>
      <x:c r="C456" s="51" t="n">
        <x:v>47</x:v>
      </x:c>
      <x:c r="D456" s="50" t="str">
        <x:v>Enfant 4–11 ans</x:v>
      </x:c>
      <x:c r="E456" s="50" t="str">
        <x:v>Carte Famille Militaire</x:v>
      </x:c>
      <x:c r="F456" s="52" t="n">
        <x:v>3.6</x:v>
      </x:c>
      <x:c r="G456" s="52" t="n">
        <x:v>5.5</x:v>
      </x:c>
      <x:c r="H456" s="60" t="n">
        <x:f>G456-F456</x:f>
        <x:v>1.9</x:v>
      </x:c>
      <x:c r="I456" s="50" t="str">
        <x:v>child-family-military</x:v>
      </x:c>
      <x:c r="J456" s="50" t="str">
        <x:v>tenay-hauteville|seyssel-corbonod</x:v>
      </x:c>
    </x:row>
    <x:row r="457">
      <x:c r="A457" s="50" t="str">
        <x:v>Tenay-Hauteville</x:v>
      </x:c>
      <x:c r="B457" s="50" t="str">
        <x:v>Seyssel – Corbonod</x:v>
      </x:c>
      <x:c r="C457" s="51" t="n">
        <x:v>47</x:v>
      </x:c>
      <x:c r="D457" s="50" t="str">
        <x:v>Enfant 4–11 ans</x:v>
      </x:c>
      <x:c r="E457" s="50" t="str">
        <x:v>Carte Familles Nombreuses (-30 %)</x:v>
      </x:c>
      <x:c r="F457" s="52" t="n">
        <x:v>3.5</x:v>
      </x:c>
      <x:c r="G457" s="52" t="n">
        <x:v>5.9</x:v>
      </x:c>
      <x:c r="H457" s="60" t="n">
        <x:f>G457-F457</x:f>
        <x:v>2.4000000000000004</x:v>
      </x:c>
      <x:c r="I457" s="50" t="str">
        <x:v>child-famille-nombreuse-30</x:v>
      </x:c>
      <x:c r="J457" s="50" t="str">
        <x:v>tenay-hauteville|seyssel-corbonod</x:v>
      </x:c>
    </x:row>
    <x:row r="458">
      <x:c r="A458" s="50" t="str">
        <x:v>Tenay-Hauteville</x:v>
      </x:c>
      <x:c r="B458" s="50" t="str">
        <x:v>Seyssel – Corbonod</x:v>
      </x:c>
      <x:c r="C458" s="51" t="n">
        <x:v>47</x:v>
      </x:c>
      <x:c r="D458" s="50" t="str">
        <x:v>Enfant 4–11 ans</x:v>
      </x:c>
      <x:c r="E458" s="50" t="str">
        <x:v>Carte Familles Nombreuses (-40 %)</x:v>
      </x:c>
      <x:c r="F458" s="52" t="n">
        <x:v>3</x:v>
      </x:c>
      <x:c r="G458" s="52" t="n">
        <x:v>5.4</x:v>
      </x:c>
      <x:c r="H458" s="60" t="n">
        <x:f>G458-F458</x:f>
        <x:v>2.4000000000000004</x:v>
      </x:c>
      <x:c r="I458" s="50" t="str">
        <x:v>child-famille-nombreuse-40</x:v>
      </x:c>
      <x:c r="J458" s="50" t="str">
        <x:v>tenay-hauteville|seyssel-corbonod</x:v>
      </x:c>
    </x:row>
    <x:row r="459">
      <x:c r="A459" s="50" t="str">
        <x:v>Tenay-Hauteville</x:v>
      </x:c>
      <x:c r="B459" s="50" t="str">
        <x:v>Seyssel – Corbonod</x:v>
      </x:c>
      <x:c r="C459" s="51" t="n">
        <x:v>47</x:v>
      </x:c>
      <x:c r="D459" s="50" t="str">
        <x:v>Enfant 4–11 ans</x:v>
      </x:c>
      <x:c r="E459" s="50" t="str">
        <x:v>Carte Familles Nombreuses (-50 %)</x:v>
      </x:c>
      <x:c r="F459" s="52" t="n">
        <x:v>2.5</x:v>
      </x:c>
      <x:c r="G459" s="52" t="n">
        <x:v>4.9</x:v>
      </x:c>
      <x:c r="H459" s="60" t="n">
        <x:f>G459-F459</x:f>
        <x:v>2.4000000000000004</x:v>
      </x:c>
      <x:c r="I459" s="50" t="str">
        <x:v>child-famille-nombreuse-50</x:v>
      </x:c>
      <x:c r="J459" s="50" t="str">
        <x:v>tenay-hauteville|seyssel-corbonod</x:v>
      </x:c>
    </x:row>
    <x:row r="460">
      <x:c r="A460" s="50" t="str">
        <x:v>Tenay-Hauteville</x:v>
      </x:c>
      <x:c r="B460" s="50" t="str">
        <x:v>Seyssel – Corbonod</x:v>
      </x:c>
      <x:c r="C460" s="51" t="n">
        <x:v>47</x:v>
      </x:c>
      <x:c r="D460" s="50" t="str">
        <x:v>Enfant 4–11 ans</x:v>
      </x:c>
      <x:c r="E460" s="50" t="str">
        <x:v>Carte Familles Nombreuses (-75 %)</x:v>
      </x:c>
      <x:c r="F460" s="52" t="n">
        <x:v>1.3</x:v>
      </x:c>
      <x:c r="G460" s="52" t="n">
        <x:v>3.7</x:v>
      </x:c>
      <x:c r="H460" s="60" t="n">
        <x:f>G460-F460</x:f>
        <x:v>2.4000000000000004</x:v>
      </x:c>
      <x:c r="I460" s="50" t="str">
        <x:v>child-famille-nombreuse-75</x:v>
      </x:c>
      <x:c r="J460" s="50" t="str">
        <x:v>tenay-hauteville|seyssel-corbonod</x:v>
      </x:c>
    </x:row>
    <x:row r="461">
      <x:c r="A461" s="50" t="str">
        <x:v>Tenay-Hauteville</x:v>
      </x:c>
      <x:c r="B461" s="50" t="str">
        <x:v>Bellegarde-sur-Valserine</x:v>
      </x:c>
      <x:c r="C461" s="51" t="n">
        <x:v>66</x:v>
      </x:c>
      <x:c r="D461" s="50" t="str">
        <x:v>Adulte</x:v>
      </x:c>
      <x:c r="E461" s="50" t="str">
        <x:v>Aucune — Plein tarif</x:v>
      </x:c>
      <x:c r="F461" s="52" t="n">
        <x:v>15.8</x:v>
      </x:c>
      <x:c r="G461" s="52" t="n">
        <x:v>24</x:v>
      </x:c>
      <x:c r="H461" s="60" t="n">
        <x:f>G461-F461</x:f>
        <x:v>8.2</x:v>
      </x:c>
      <x:c r="I461" s="50" t="str">
        <x:v>adult-none</x:v>
      </x:c>
      <x:c r="J461" s="50" t="str">
        <x:v>tenay-hauteville|bellegarde-sur-valserine</x:v>
      </x:c>
    </x:row>
    <x:row r="462">
      <x:c r="A462" s="50" t="str">
        <x:v>Tenay-Hauteville</x:v>
      </x:c>
      <x:c r="B462" s="50" t="str">
        <x:v>Bellegarde-sur-Valserine</x:v>
      </x:c>
      <x:c r="C462" s="51" t="n">
        <x:v>66</x:v>
      </x:c>
      <x:c r="D462" s="50" t="str">
        <x:v>Adulte</x:v>
      </x:c>
      <x:c r="E462" s="50" t="str">
        <x:v>illico LIBERTÉ — Semaine (-25 %)</x:v>
      </x:c>
      <x:c r="F462" s="52" t="n">
        <x:v>11.9</x:v>
      </x:c>
      <x:c r="G462" s="52" t="n">
        <x:v>18</x:v>
      </x:c>
      <x:c r="H462" s="60" t="n">
        <x:f>G462-F462</x:f>
        <x:v>6.1</x:v>
      </x:c>
      <x:c r="I462" s="50" t="str">
        <x:v>adult-illico-liberte-weekday</x:v>
      </x:c>
      <x:c r="J462" s="50" t="str">
        <x:v>tenay-hauteville|bellegarde-sur-valserine</x:v>
      </x:c>
    </x:row>
    <x:row r="463">
      <x:c r="A463" s="50" t="str">
        <x:v>Tenay-Hauteville</x:v>
      </x:c>
      <x:c r="B463" s="50" t="str">
        <x:v>Bellegarde-sur-Valserine</x:v>
      </x:c>
      <x:c r="C463" s="51" t="n">
        <x:v>66</x:v>
      </x:c>
      <x:c r="D463" s="50" t="str">
        <x:v>Adulte</x:v>
      </x:c>
      <x:c r="E463" s="50" t="str">
        <x:v>illico LIBERTÉ — Week-end / Jour férié (-50 %)</x:v>
      </x:c>
      <x:c r="F463" s="52" t="n">
        <x:v>7.9</x:v>
      </x:c>
      <x:c r="G463" s="52" t="n">
        <x:v>12</x:v>
      </x:c>
      <x:c r="H463" s="60" t="n">
        <x:f>G463-F463</x:f>
        <x:v>4.1</x:v>
      </x:c>
      <x:c r="I463" s="50" t="str">
        <x:v>adult-illico-liberte-weekend</x:v>
      </x:c>
      <x:c r="J463" s="50" t="str">
        <x:v>tenay-hauteville|bellegarde-sur-valserine</x:v>
      </x:c>
    </x:row>
    <x:row r="464">
      <x:c r="A464" s="50" t="str">
        <x:v>Tenay-Hauteville</x:v>
      </x:c>
      <x:c r="B464" s="50" t="str">
        <x:v>Bellegarde-sur-Valserine</x:v>
      </x:c>
      <x:c r="C464" s="51" t="n">
        <x:v>66</x:v>
      </x:c>
      <x:c r="D464" s="50" t="str">
        <x:v>Adulte</x:v>
      </x:c>
      <x:c r="E464" s="50" t="str">
        <x:v>illico LIBERTÉ — Accompagnant, Week-end / Jour férié (-50 %)</x:v>
      </x:c>
      <x:c r="F464" s="52" t="n">
        <x:v>7.9</x:v>
      </x:c>
      <x:c r="G464" s="52" t="n">
        <x:v>12</x:v>
      </x:c>
      <x:c r="H464" s="60" t="n">
        <x:f>G464-F464</x:f>
        <x:v>4.1</x:v>
      </x:c>
      <x:c r="I464" s="50" t="str">
        <x:v>adult-illico-liberte-weekend-companion</x:v>
      </x:c>
      <x:c r="J464" s="50" t="str">
        <x:v>tenay-hauteville|bellegarde-sur-valserine</x:v>
      </x:c>
    </x:row>
    <x:row r="465">
      <x:c r="A465" s="50" t="str">
        <x:v>Tenay-Hauteville</x:v>
      </x:c>
      <x:c r="B465" s="50" t="str">
        <x:v>Bellegarde-sur-Valserine</x:v>
      </x:c>
      <x:c r="C465" s="51" t="n">
        <x:v>66</x:v>
      </x:c>
      <x:c r="D465" s="50" t="str">
        <x:v>Adulte</x:v>
      </x:c>
      <x:c r="E465" s="50" t="str">
        <x:v>illico LIBERTÉ JEUNES (-50 %)</x:v>
      </x:c>
      <x:c r="F465" s="52" t="n">
        <x:v>7.9</x:v>
      </x:c>
      <x:c r="G465" s="52" t="n">
        <x:v>12</x:v>
      </x:c>
      <x:c r="H465" s="60" t="n">
        <x:f>G465-F465</x:f>
        <x:v>4.1</x:v>
      </x:c>
      <x:c r="I465" s="50" t="str">
        <x:v>adult-illico-jeunes</x:v>
      </x:c>
      <x:c r="J465" s="50" t="str">
        <x:v>tenay-hauteville|bellegarde-sur-valserine</x:v>
      </x:c>
    </x:row>
    <x:row r="466">
      <x:c r="A466" s="50" t="str">
        <x:v>Tenay-Hauteville</x:v>
      </x:c>
      <x:c r="B466" s="50" t="str">
        <x:v>Bellegarde-sur-Valserine</x:v>
      </x:c>
      <x:c r="C466" s="51" t="n">
        <x:v>66</x:v>
      </x:c>
      <x:c r="D466" s="50" t="str">
        <x:v>Adulte</x:v>
      </x:c>
      <x:c r="E466" s="50" t="str">
        <x:v>Carte Liberté SNCF (-25 %)</x:v>
      </x:c>
      <x:c r="F466" s="52" t="n">
        <x:v>11.9</x:v>
      </x:c>
      <x:c r="G466" s="52" t="n">
        <x:v>18</x:v>
      </x:c>
      <x:c r="H466" s="60" t="n">
        <x:f>G466-F466</x:f>
        <x:v>6.1</x:v>
      </x:c>
      <x:c r="I466" s="50" t="str">
        <x:v>adult-liberte-nationale</x:v>
      </x:c>
      <x:c r="J466" s="50" t="str">
        <x:v>tenay-hauteville|bellegarde-sur-valserine</x:v>
      </x:c>
    </x:row>
    <x:row r="467">
      <x:c r="A467" s="50" t="str">
        <x:v>Tenay-Hauteville</x:v>
      </x:c>
      <x:c r="B467" s="50" t="str">
        <x:v>Bellegarde-sur-Valserine</x:v>
      </x:c>
      <x:c r="C467" s="51" t="n">
        <x:v>66</x:v>
      </x:c>
      <x:c r="D467" s="50" t="str">
        <x:v>Adulte</x:v>
      </x:c>
      <x:c r="E467" s="50" t="str">
        <x:v>Carte Familles Nombreuses (-30 %)</x:v>
      </x:c>
      <x:c r="F467" s="52" t="n">
        <x:v>9</x:v>
      </x:c>
      <x:c r="G467" s="52" t="n">
        <x:v>15.3</x:v>
      </x:c>
      <x:c r="H467" s="60" t="n">
        <x:f>G467-F467</x:f>
        <x:v>6.300000000000001</x:v>
      </x:c>
      <x:c r="I467" s="50" t="str">
        <x:v>adult-famille-nombreuse-30</x:v>
      </x:c>
      <x:c r="J467" s="50" t="str">
        <x:v>tenay-hauteville|bellegarde-sur-valserine</x:v>
      </x:c>
    </x:row>
    <x:row r="468">
      <x:c r="A468" s="50" t="str">
        <x:v>Tenay-Hauteville</x:v>
      </x:c>
      <x:c r="B468" s="50" t="str">
        <x:v>Bellegarde-sur-Valserine</x:v>
      </x:c>
      <x:c r="C468" s="51" t="n">
        <x:v>66</x:v>
      </x:c>
      <x:c r="D468" s="50" t="str">
        <x:v>Adulte</x:v>
      </x:c>
      <x:c r="E468" s="50" t="str">
        <x:v>Carte Familles Nombreuses (-40 %)</x:v>
      </x:c>
      <x:c r="F468" s="52" t="n">
        <x:v>7.7</x:v>
      </x:c>
      <x:c r="G468" s="52" t="n">
        <x:v>14</x:v>
      </x:c>
      <x:c r="H468" s="60" t="n">
        <x:f>G468-F468</x:f>
        <x:v>6.3</x:v>
      </x:c>
      <x:c r="I468" s="50" t="str">
        <x:v>adult-famille-nombreuse-40</x:v>
      </x:c>
      <x:c r="J468" s="50" t="str">
        <x:v>tenay-hauteville|bellegarde-sur-valserine</x:v>
      </x:c>
    </x:row>
    <x:row r="469">
      <x:c r="A469" s="50" t="str">
        <x:v>Tenay-Hauteville</x:v>
      </x:c>
      <x:c r="B469" s="50" t="str">
        <x:v>Bellegarde-sur-Valserine</x:v>
      </x:c>
      <x:c r="C469" s="51" t="n">
        <x:v>66</x:v>
      </x:c>
      <x:c r="D469" s="50" t="str">
        <x:v>Adulte</x:v>
      </x:c>
      <x:c r="E469" s="50" t="str">
        <x:v>Carte Familles Nombreuses (-50 %)</x:v>
      </x:c>
      <x:c r="F469" s="52" t="n">
        <x:v>6.4</x:v>
      </x:c>
      <x:c r="G469" s="52" t="n">
        <x:v>12.7</x:v>
      </x:c>
      <x:c r="H469" s="60" t="n">
        <x:f>G469-F469</x:f>
        <x:v>6.299999999999999</x:v>
      </x:c>
      <x:c r="I469" s="50" t="str">
        <x:v>adult-famille-nombreuse-50</x:v>
      </x:c>
      <x:c r="J469" s="50" t="str">
        <x:v>tenay-hauteville|bellegarde-sur-valserine</x:v>
      </x:c>
    </x:row>
    <x:row r="470">
      <x:c r="A470" s="50" t="str">
        <x:v>Tenay-Hauteville</x:v>
      </x:c>
      <x:c r="B470" s="50" t="str">
        <x:v>Bellegarde-sur-Valserine</x:v>
      </x:c>
      <x:c r="C470" s="51" t="n">
        <x:v>66</x:v>
      </x:c>
      <x:c r="D470" s="50" t="str">
        <x:v>Adulte</x:v>
      </x:c>
      <x:c r="E470" s="50" t="str">
        <x:v>Carte Familles Nombreuses (-75 %)</x:v>
      </x:c>
      <x:c r="F470" s="52" t="n">
        <x:v>3.2</x:v>
      </x:c>
      <x:c r="G470" s="52" t="n">
        <x:v>9.5</x:v>
      </x:c>
      <x:c r="H470" s="60" t="n">
        <x:f>G470-F470</x:f>
        <x:v>6.3</x:v>
      </x:c>
      <x:c r="I470" s="50" t="str">
        <x:v>adult-famille-nombreuse-75</x:v>
      </x:c>
      <x:c r="J470" s="50" t="str">
        <x:v>tenay-hauteville|bellegarde-sur-valserine</x:v>
      </x:c>
    </x:row>
    <x:row r="471">
      <x:c r="A471" s="50" t="str">
        <x:v>Tenay-Hauteville</x:v>
      </x:c>
      <x:c r="B471" s="50" t="str">
        <x:v>Bellegarde-sur-Valserine</x:v>
      </x:c>
      <x:c r="C471" s="51" t="n">
        <x:v>66</x:v>
      </x:c>
      <x:c r="D471" s="50" t="str">
        <x:v>Adulte</x:v>
      </x:c>
      <x:c r="E471" s="50" t="str">
        <x:v>Carte Militaire (-75 %)</x:v>
      </x:c>
      <x:c r="F471" s="52" t="n">
        <x:v>3.2</x:v>
      </x:c>
      <x:c r="G471" s="52" t="n">
        <x:v>9.5</x:v>
      </x:c>
      <x:c r="H471" s="60" t="n">
        <x:f>G471-F471</x:f>
        <x:v>6.3</x:v>
      </x:c>
      <x:c r="I471" s="50" t="str">
        <x:v>adult-military</x:v>
      </x:c>
      <x:c r="J471" s="50" t="str">
        <x:v>tenay-hauteville|bellegarde-sur-valserine</x:v>
      </x:c>
    </x:row>
    <x:row r="472">
      <x:c r="A472" s="50" t="str">
        <x:v>Tenay-Hauteville</x:v>
      </x:c>
      <x:c r="B472" s="50" t="str">
        <x:v>Bellegarde-sur-Valserine</x:v>
      </x:c>
      <x:c r="C472" s="51" t="n">
        <x:v>66</x:v>
      </x:c>
      <x:c r="D472" s="50" t="str">
        <x:v>Adulte</x:v>
      </x:c>
      <x:c r="E472" s="50" t="str">
        <x:v>Carte Famille Militaire (-40 %)</x:v>
      </x:c>
      <x:c r="F472" s="52" t="n">
        <x:v>9.5</x:v>
      </x:c>
      <x:c r="G472" s="52" t="n">
        <x:v>14.4</x:v>
      </x:c>
      <x:c r="H472" s="60" t="n">
        <x:f>G472-F472</x:f>
        <x:v>4.9</x:v>
      </x:c>
      <x:c r="I472" s="50" t="str">
        <x:v>adult-family-military</x:v>
      </x:c>
      <x:c r="J472" s="50" t="str">
        <x:v>tenay-hauteville|bellegarde-sur-valserine</x:v>
      </x:c>
    </x:row>
    <x:row r="473">
      <x:c r="A473" s="50" t="str">
        <x:v>Tenay-Hauteville</x:v>
      </x:c>
      <x:c r="B473" s="50" t="str">
        <x:v>Bellegarde-sur-Valserine</x:v>
      </x:c>
      <x:c r="C473" s="51" t="n">
        <x:v>66</x:v>
      </x:c>
      <x:c r="D473" s="50" t="str">
        <x:v>Enfant 4–11 ans</x:v>
      </x:c>
      <x:c r="E473" s="50" t="str">
        <x:v>Aucune — Tarif Enfant 4–11 ans</x:v>
      </x:c>
      <x:c r="F473" s="52" t="n">
        <x:v>7.9</x:v>
      </x:c>
      <x:c r="G473" s="52" t="n">
        <x:v>12</x:v>
      </x:c>
      <x:c r="H473" s="60" t="n">
        <x:f>G473-F473</x:f>
        <x:v>4.1</x:v>
      </x:c>
      <x:c r="I473" s="50" t="str">
        <x:v>child-none</x:v>
      </x:c>
      <x:c r="J473" s="50" t="str">
        <x:v>tenay-hauteville|bellegarde-sur-valserine</x:v>
      </x:c>
    </x:row>
    <x:row r="474">
      <x:c r="A474" s="50" t="str">
        <x:v>Tenay-Hauteville</x:v>
      </x:c>
      <x:c r="B474" s="50" t="str">
        <x:v>Bellegarde-sur-Valserine</x:v>
      </x:c>
      <x:c r="C474" s="51" t="n">
        <x:v>66</x:v>
      </x:c>
      <x:c r="D474" s="50" t="str">
        <x:v>Enfant 4–11 ans</x:v>
      </x:c>
      <x:c r="E474" s="50" t="str">
        <x:v>illico LIBERTÉ — Accompagnant, Week-end / Jour férié</x:v>
      </x:c>
      <x:c r="F474" s="52" t="n">
        <x:v>4</x:v>
      </x:c>
      <x:c r="G474" s="52" t="n">
        <x:v>6</x:v>
      </x:c>
      <x:c r="H474" s="60" t="n">
        <x:f>G474-F474</x:f>
        <x:v>2</x:v>
      </x:c>
      <x:c r="I474" s="50" t="str">
        <x:v>child-illico-liberte-weekend-companion</x:v>
      </x:c>
      <x:c r="J474" s="50" t="str">
        <x:v>tenay-hauteville|bellegarde-sur-valserine</x:v>
      </x:c>
    </x:row>
    <x:row r="475">
      <x:c r="A475" s="50" t="str">
        <x:v>Tenay-Hauteville</x:v>
      </x:c>
      <x:c r="B475" s="50" t="str">
        <x:v>Bellegarde-sur-Valserine</x:v>
      </x:c>
      <x:c r="C475" s="51" t="n">
        <x:v>66</x:v>
      </x:c>
      <x:c r="D475" s="50" t="str">
        <x:v>Enfant 4–11 ans</x:v>
      </x:c>
      <x:c r="E475" s="50" t="str">
        <x:v>Carte Famille Militaire</x:v>
      </x:c>
      <x:c r="F475" s="52" t="n">
        <x:v>4.8</x:v>
      </x:c>
      <x:c r="G475" s="52" t="n">
        <x:v>7.2</x:v>
      </x:c>
      <x:c r="H475" s="60" t="n">
        <x:f>G475-F475</x:f>
        <x:v>2.4000000000000004</x:v>
      </x:c>
      <x:c r="I475" s="50" t="str">
        <x:v>child-family-military</x:v>
      </x:c>
      <x:c r="J475" s="50" t="str">
        <x:v>tenay-hauteville|bellegarde-sur-valserine</x:v>
      </x:c>
    </x:row>
    <x:row r="476">
      <x:c r="A476" s="50" t="str">
        <x:v>Tenay-Hauteville</x:v>
      </x:c>
      <x:c r="B476" s="50" t="str">
        <x:v>Bellegarde-sur-Valserine</x:v>
      </x:c>
      <x:c r="C476" s="51" t="n">
        <x:v>66</x:v>
      </x:c>
      <x:c r="D476" s="50" t="str">
        <x:v>Enfant 4–11 ans</x:v>
      </x:c>
      <x:c r="E476" s="50" t="str">
        <x:v>Carte Familles Nombreuses (-30 %)</x:v>
      </x:c>
      <x:c r="F476" s="52" t="n">
        <x:v>4.5</x:v>
      </x:c>
      <x:c r="G476" s="52" t="n">
        <x:v>7.7</x:v>
      </x:c>
      <x:c r="H476" s="60" t="n">
        <x:f>G476-F476</x:f>
        <x:v>3.2</x:v>
      </x:c>
      <x:c r="I476" s="50" t="str">
        <x:v>child-famille-nombreuse-30</x:v>
      </x:c>
      <x:c r="J476" s="50" t="str">
        <x:v>tenay-hauteville|bellegarde-sur-valserine</x:v>
      </x:c>
    </x:row>
    <x:row r="477">
      <x:c r="A477" s="50" t="str">
        <x:v>Tenay-Hauteville</x:v>
      </x:c>
      <x:c r="B477" s="50" t="str">
        <x:v>Bellegarde-sur-Valserine</x:v>
      </x:c>
      <x:c r="C477" s="51" t="n">
        <x:v>66</x:v>
      </x:c>
      <x:c r="D477" s="50" t="str">
        <x:v>Enfant 4–11 ans</x:v>
      </x:c>
      <x:c r="E477" s="50" t="str">
        <x:v>Carte Familles Nombreuses (-40 %)</x:v>
      </x:c>
      <x:c r="F477" s="52" t="n">
        <x:v>3.9</x:v>
      </x:c>
      <x:c r="G477" s="52" t="n">
        <x:v>7</x:v>
      </x:c>
      <x:c r="H477" s="60" t="n">
        <x:f>G477-F477</x:f>
        <x:v>3.1</x:v>
      </x:c>
      <x:c r="I477" s="50" t="str">
        <x:v>child-famille-nombreuse-40</x:v>
      </x:c>
      <x:c r="J477" s="50" t="str">
        <x:v>tenay-hauteville|bellegarde-sur-valserine</x:v>
      </x:c>
    </x:row>
    <x:row r="478">
      <x:c r="A478" s="50" t="str">
        <x:v>Tenay-Hauteville</x:v>
      </x:c>
      <x:c r="B478" s="50" t="str">
        <x:v>Bellegarde-sur-Valserine</x:v>
      </x:c>
      <x:c r="C478" s="51" t="n">
        <x:v>66</x:v>
      </x:c>
      <x:c r="D478" s="50" t="str">
        <x:v>Enfant 4–11 ans</x:v>
      </x:c>
      <x:c r="E478" s="50" t="str">
        <x:v>Carte Familles Nombreuses (-50 %)</x:v>
      </x:c>
      <x:c r="F478" s="52" t="n">
        <x:v>3.2</x:v>
      </x:c>
      <x:c r="G478" s="52" t="n">
        <x:v>6.4</x:v>
      </x:c>
      <x:c r="H478" s="60" t="n">
        <x:f>G478-F478</x:f>
        <x:v>3.2</x:v>
      </x:c>
      <x:c r="I478" s="50" t="str">
        <x:v>child-famille-nombreuse-50</x:v>
      </x:c>
      <x:c r="J478" s="50" t="str">
        <x:v>tenay-hauteville|bellegarde-sur-valserine</x:v>
      </x:c>
    </x:row>
    <x:row r="479">
      <x:c r="A479" s="50" t="str">
        <x:v>Tenay-Hauteville</x:v>
      </x:c>
      <x:c r="B479" s="50" t="str">
        <x:v>Bellegarde-sur-Valserine</x:v>
      </x:c>
      <x:c r="C479" s="51" t="n">
        <x:v>66</x:v>
      </x:c>
      <x:c r="D479" s="50" t="str">
        <x:v>Enfant 4–11 ans</x:v>
      </x:c>
      <x:c r="E479" s="50" t="str">
        <x:v>Carte Familles Nombreuses (-75 %)</x:v>
      </x:c>
      <x:c r="F479" s="52" t="n">
        <x:v>1.6</x:v>
      </x:c>
      <x:c r="G479" s="52" t="n">
        <x:v>4.8</x:v>
      </x:c>
      <x:c r="H479" s="60" t="n">
        <x:f>G479-F479</x:f>
        <x:v>3.1999999999999997</x:v>
      </x:c>
      <x:c r="I479" s="50" t="str">
        <x:v>child-famille-nombreuse-75</x:v>
      </x:c>
      <x:c r="J479" s="50" t="str">
        <x:v>tenay-hauteville|bellegarde-sur-valserine</x:v>
      </x:c>
    </x:row>
    <x:row r="480">
      <x:c r="A480" s="50" t="str">
        <x:v>Tenay-Hauteville</x:v>
      </x:c>
      <x:c r="B480" s="50" t="str">
        <x:v>Genève</x:v>
      </x:c>
      <x:c r="C480" s="51" t="n">
        <x:v>108</x:v>
      </x:c>
      <x:c r="D480" s="50" t="str">
        <x:v>Adulte</x:v>
      </x:c>
      <x:c r="E480" s="50" t="str">
        <x:v>Aucune — Plein tarif</x:v>
      </x:c>
      <x:c r="F480" s="52" t="n">
        <x:v>21.9</x:v>
      </x:c>
      <x:c r="G480" s="52" t="n">
        <x:v>33.2</x:v>
      </x:c>
      <x:c r="H480" s="60" t="n">
        <x:f>G480-F480</x:f>
        <x:v>11.300000000000004</x:v>
      </x:c>
      <x:c r="I480" s="50" t="str">
        <x:v>adult-none</x:v>
      </x:c>
      <x:c r="J480" s="50" t="str">
        <x:v>tenay-hauteville|geneve</x:v>
      </x:c>
    </x:row>
    <x:row r="481">
      <x:c r="A481" s="50" t="str">
        <x:v>Tenay-Hauteville</x:v>
      </x:c>
      <x:c r="B481" s="50" t="str">
        <x:v>Genève</x:v>
      </x:c>
      <x:c r="C481" s="51" t="n">
        <x:v>108</x:v>
      </x:c>
      <x:c r="D481" s="50" t="str">
        <x:v>Adulte</x:v>
      </x:c>
      <x:c r="E481" s="50" t="str">
        <x:v>illico LIBERTÉ — Semaine (-25 %)</x:v>
      </x:c>
      <x:c r="F481" s="52" t="n">
        <x:v>16.5</x:v>
      </x:c>
      <x:c r="G481" s="52" t="n">
        <x:v>24.9</x:v>
      </x:c>
      <x:c r="H481" s="60" t="n">
        <x:f>G481-F481</x:f>
        <x:v>8.399999999999999</x:v>
      </x:c>
      <x:c r="I481" s="50" t="str">
        <x:v>adult-illico-liberte-weekday</x:v>
      </x:c>
      <x:c r="J481" s="50" t="str">
        <x:v>tenay-hauteville|geneve</x:v>
      </x:c>
    </x:row>
    <x:row r="482">
      <x:c r="A482" s="50" t="str">
        <x:v>Tenay-Hauteville</x:v>
      </x:c>
      <x:c r="B482" s="50" t="str">
        <x:v>Genève</x:v>
      </x:c>
      <x:c r="C482" s="51" t="n">
        <x:v>108</x:v>
      </x:c>
      <x:c r="D482" s="50" t="str">
        <x:v>Adulte</x:v>
      </x:c>
      <x:c r="E482" s="50" t="str">
        <x:v>illico LIBERTÉ — Week-end / Jour férié (-50 %)</x:v>
      </x:c>
      <x:c r="F482" s="52" t="n">
        <x:v>11</x:v>
      </x:c>
      <x:c r="G482" s="52" t="n">
        <x:v>16.6</x:v>
      </x:c>
      <x:c r="H482" s="60" t="n">
        <x:f>G482-F482</x:f>
        <x:v>5.600000000000001</x:v>
      </x:c>
      <x:c r="I482" s="50" t="str">
        <x:v>adult-illico-liberte-weekend</x:v>
      </x:c>
      <x:c r="J482" s="50" t="str">
        <x:v>tenay-hauteville|geneve</x:v>
      </x:c>
    </x:row>
    <x:row r="483">
      <x:c r="A483" s="50" t="str">
        <x:v>Tenay-Hauteville</x:v>
      </x:c>
      <x:c r="B483" s="50" t="str">
        <x:v>Genève</x:v>
      </x:c>
      <x:c r="C483" s="51" t="n">
        <x:v>108</x:v>
      </x:c>
      <x:c r="D483" s="50" t="str">
        <x:v>Adulte</x:v>
      </x:c>
      <x:c r="E483" s="50" t="str">
        <x:v>illico LIBERTÉ — Accompagnant, Week-end / Jour férié (-50 %)</x:v>
      </x:c>
      <x:c r="F483" s="52" t="n">
        <x:v>11</x:v>
      </x:c>
      <x:c r="G483" s="52" t="n">
        <x:v>16.6</x:v>
      </x:c>
      <x:c r="H483" s="60" t="n">
        <x:f>G483-F483</x:f>
        <x:v>5.600000000000001</x:v>
      </x:c>
      <x:c r="I483" s="50" t="str">
        <x:v>adult-illico-liberte-weekend-companion</x:v>
      </x:c>
      <x:c r="J483" s="50" t="str">
        <x:v>tenay-hauteville|geneve</x:v>
      </x:c>
    </x:row>
    <x:row r="484">
      <x:c r="A484" s="50" t="str">
        <x:v>Tenay-Hauteville</x:v>
      </x:c>
      <x:c r="B484" s="50" t="str">
        <x:v>Genève</x:v>
      </x:c>
      <x:c r="C484" s="51" t="n">
        <x:v>108</x:v>
      </x:c>
      <x:c r="D484" s="50" t="str">
        <x:v>Adulte</x:v>
      </x:c>
      <x:c r="E484" s="50" t="str">
        <x:v>illico LIBERTÉ JEUNES (-50 %)</x:v>
      </x:c>
      <x:c r="F484" s="52" t="n">
        <x:v>11</x:v>
      </x:c>
      <x:c r="G484" s="52" t="n">
        <x:v>16.6</x:v>
      </x:c>
      <x:c r="H484" s="60" t="n">
        <x:f>G484-F484</x:f>
        <x:v>5.600000000000001</x:v>
      </x:c>
      <x:c r="I484" s="50" t="str">
        <x:v>adult-illico-jeunes</x:v>
      </x:c>
      <x:c r="J484" s="50" t="str">
        <x:v>tenay-hauteville|geneve</x:v>
      </x:c>
    </x:row>
    <x:row r="485">
      <x:c r="A485" s="50" t="str">
        <x:v>Tenay-Hauteville</x:v>
      </x:c>
      <x:c r="B485" s="50" t="str">
        <x:v>Genève</x:v>
      </x:c>
      <x:c r="C485" s="51" t="n">
        <x:v>108</x:v>
      </x:c>
      <x:c r="D485" s="50" t="str">
        <x:v>Adulte</x:v>
      </x:c>
      <x:c r="E485" s="50" t="str">
        <x:v>Carte Liberté SNCF (-25 %)</x:v>
      </x:c>
      <x:c r="F485" s="52" t="n">
        <x:v>16.5</x:v>
      </x:c>
      <x:c r="G485" s="52" t="n">
        <x:v>24.9</x:v>
      </x:c>
      <x:c r="H485" s="60" t="n">
        <x:f>G485-F485</x:f>
        <x:v>8.399999999999999</x:v>
      </x:c>
      <x:c r="I485" s="50" t="str">
        <x:v>adult-liberte-nationale</x:v>
      </x:c>
      <x:c r="J485" s="50" t="str">
        <x:v>tenay-hauteville|geneve</x:v>
      </x:c>
    </x:row>
    <x:row r="486">
      <x:c r="A486" s="50" t="str">
        <x:v>Tenay-Hauteville</x:v>
      </x:c>
      <x:c r="B486" s="50" t="str">
        <x:v>Genève</x:v>
      </x:c>
      <x:c r="C486" s="51" t="n">
        <x:v>108</x:v>
      </x:c>
      <x:c r="D486" s="50" t="str">
        <x:v>Adulte</x:v>
      </x:c>
      <x:c r="E486" s="50" t="str">
        <x:v>Carte Familles Nombreuses (-30 %)</x:v>
      </x:c>
      <x:c r="F486" s="52" t="n">
        <x:v>12.4</x:v>
      </x:c>
      <x:c r="G486" s="52" t="n">
        <x:v>21.2</x:v>
      </x:c>
      <x:c r="H486" s="60" t="n">
        <x:f>G486-F486</x:f>
        <x:v>8.799999999999999</x:v>
      </x:c>
      <x:c r="I486" s="50" t="str">
        <x:v>adult-famille-nombreuse-30</x:v>
      </x:c>
      <x:c r="J486" s="50" t="str">
        <x:v>tenay-hauteville|geneve</x:v>
      </x:c>
    </x:row>
    <x:row r="487">
      <x:c r="A487" s="50" t="str">
        <x:v>Tenay-Hauteville</x:v>
      </x:c>
      <x:c r="B487" s="50" t="str">
        <x:v>Genève</x:v>
      </x:c>
      <x:c r="C487" s="51" t="n">
        <x:v>108</x:v>
      </x:c>
      <x:c r="D487" s="50" t="str">
        <x:v>Adulte</x:v>
      </x:c>
      <x:c r="E487" s="50" t="str">
        <x:v>Carte Familles Nombreuses (-40 %)</x:v>
      </x:c>
      <x:c r="F487" s="52" t="n">
        <x:v>10.7</x:v>
      </x:c>
      <x:c r="G487" s="52" t="n">
        <x:v>19.5</x:v>
      </x:c>
      <x:c r="H487" s="60" t="n">
        <x:f>G487-F487</x:f>
        <x:v>8.8</x:v>
      </x:c>
      <x:c r="I487" s="50" t="str">
        <x:v>adult-famille-nombreuse-40</x:v>
      </x:c>
      <x:c r="J487" s="50" t="str">
        <x:v>tenay-hauteville|geneve</x:v>
      </x:c>
    </x:row>
    <x:row r="488">
      <x:c r="A488" s="50" t="str">
        <x:v>Tenay-Hauteville</x:v>
      </x:c>
      <x:c r="B488" s="50" t="str">
        <x:v>Genève</x:v>
      </x:c>
      <x:c r="C488" s="51" t="n">
        <x:v>108</x:v>
      </x:c>
      <x:c r="D488" s="50" t="str">
        <x:v>Adulte</x:v>
      </x:c>
      <x:c r="E488" s="50" t="str">
        <x:v>Carte Familles Nombreuses (-50 %)</x:v>
      </x:c>
      <x:c r="F488" s="52" t="n">
        <x:v>8.9</x:v>
      </x:c>
      <x:c r="G488" s="52" t="n">
        <x:v>17.7</x:v>
      </x:c>
      <x:c r="H488" s="60" t="n">
        <x:f>G488-F488</x:f>
        <x:v>8.799999999999999</x:v>
      </x:c>
      <x:c r="I488" s="50" t="str">
        <x:v>adult-famille-nombreuse-50</x:v>
      </x:c>
      <x:c r="J488" s="50" t="str">
        <x:v>tenay-hauteville|geneve</x:v>
      </x:c>
    </x:row>
    <x:row r="489">
      <x:c r="A489" s="50" t="str">
        <x:v>Tenay-Hauteville</x:v>
      </x:c>
      <x:c r="B489" s="50" t="str">
        <x:v>Genève</x:v>
      </x:c>
      <x:c r="C489" s="51" t="n">
        <x:v>108</x:v>
      </x:c>
      <x:c r="D489" s="50" t="str">
        <x:v>Adulte</x:v>
      </x:c>
      <x:c r="E489" s="50" t="str">
        <x:v>Carte Familles Nombreuses (-75 %)</x:v>
      </x:c>
      <x:c r="F489" s="52" t="n">
        <x:v>4.5</x:v>
      </x:c>
      <x:c r="G489" s="52" t="n">
        <x:v>13.3</x:v>
      </x:c>
      <x:c r="H489" s="60" t="n">
        <x:f>G489-F489</x:f>
        <x:v>8.8</x:v>
      </x:c>
      <x:c r="I489" s="50" t="str">
        <x:v>adult-famille-nombreuse-75</x:v>
      </x:c>
      <x:c r="J489" s="50" t="str">
        <x:v>tenay-hauteville|geneve</x:v>
      </x:c>
    </x:row>
    <x:row r="490">
      <x:c r="A490" s="50" t="str">
        <x:v>Tenay-Hauteville</x:v>
      </x:c>
      <x:c r="B490" s="50" t="str">
        <x:v>Genève</x:v>
      </x:c>
      <x:c r="C490" s="51" t="n">
        <x:v>108</x:v>
      </x:c>
      <x:c r="D490" s="50" t="str">
        <x:v>Adulte</x:v>
      </x:c>
      <x:c r="E490" s="50" t="str">
        <x:v>Carte Militaire (-75 %)</x:v>
      </x:c>
      <x:c r="F490" s="52" t="n">
        <x:v>4.5</x:v>
      </x:c>
      <x:c r="G490" s="52" t="n">
        <x:v>13.3</x:v>
      </x:c>
      <x:c r="H490" s="60" t="n">
        <x:f>G490-F490</x:f>
        <x:v>8.8</x:v>
      </x:c>
      <x:c r="I490" s="50" t="str">
        <x:v>adult-military</x:v>
      </x:c>
      <x:c r="J490" s="50" t="str">
        <x:v>tenay-hauteville|geneve</x:v>
      </x:c>
    </x:row>
    <x:row r="491">
      <x:c r="A491" s="50" t="str">
        <x:v>Tenay-Hauteville</x:v>
      </x:c>
      <x:c r="B491" s="50" t="str">
        <x:v>Genève</x:v>
      </x:c>
      <x:c r="C491" s="51" t="n">
        <x:v>108</x:v>
      </x:c>
      <x:c r="D491" s="50" t="str">
        <x:v>Adulte</x:v>
      </x:c>
      <x:c r="E491" s="50" t="str">
        <x:v>Carte Famille Militaire (-40 %)</x:v>
      </x:c>
      <x:c r="F491" s="52" t="n">
        <x:v>13.2</x:v>
      </x:c>
      <x:c r="G491" s="52" t="n">
        <x:v>20</x:v>
      </x:c>
      <x:c r="H491" s="60" t="n">
        <x:f>G491-F491</x:f>
        <x:v>6.800000000000001</x:v>
      </x:c>
      <x:c r="I491" s="50" t="str">
        <x:v>adult-family-military</x:v>
      </x:c>
      <x:c r="J491" s="50" t="str">
        <x:v>tenay-hauteville|geneve</x:v>
      </x:c>
    </x:row>
    <x:row r="492">
      <x:c r="A492" s="50" t="str">
        <x:v>Tenay-Hauteville</x:v>
      </x:c>
      <x:c r="B492" s="50" t="str">
        <x:v>Genève</x:v>
      </x:c>
      <x:c r="C492" s="51" t="n">
        <x:v>108</x:v>
      </x:c>
      <x:c r="D492" s="50" t="str">
        <x:v>Enfant 4–11 ans</x:v>
      </x:c>
      <x:c r="E492" s="50" t="str">
        <x:v>Aucune — Tarif Enfant 4–11 ans</x:v>
      </x:c>
      <x:c r="F492" s="52" t="n">
        <x:v>11</x:v>
      </x:c>
      <x:c r="G492" s="52" t="n">
        <x:v>16.6</x:v>
      </x:c>
      <x:c r="H492" s="60" t="n">
        <x:f>G492-F492</x:f>
        <x:v>5.600000000000001</x:v>
      </x:c>
      <x:c r="I492" s="50" t="str">
        <x:v>child-none</x:v>
      </x:c>
      <x:c r="J492" s="50" t="str">
        <x:v>tenay-hauteville|geneve</x:v>
      </x:c>
    </x:row>
    <x:row r="493">
      <x:c r="A493" s="50" t="str">
        <x:v>Tenay-Hauteville</x:v>
      </x:c>
      <x:c r="B493" s="50" t="str">
        <x:v>Genève</x:v>
      </x:c>
      <x:c r="C493" s="51" t="n">
        <x:v>108</x:v>
      </x:c>
      <x:c r="D493" s="50" t="str">
        <x:v>Enfant 4–11 ans</x:v>
      </x:c>
      <x:c r="E493" s="50" t="str">
        <x:v>illico LIBERTÉ — Accompagnant, Week-end / Jour férié</x:v>
      </x:c>
      <x:c r="F493" s="52" t="n">
        <x:v>5.5</x:v>
      </x:c>
      <x:c r="G493" s="52" t="n">
        <x:v>8.3</x:v>
      </x:c>
      <x:c r="H493" s="60" t="n">
        <x:f>G493-F493</x:f>
        <x:v>2.8000000000000007</x:v>
      </x:c>
      <x:c r="I493" s="50" t="str">
        <x:v>child-illico-liberte-weekend-companion</x:v>
      </x:c>
      <x:c r="J493" s="50" t="str">
        <x:v>tenay-hauteville|geneve</x:v>
      </x:c>
    </x:row>
    <x:row r="494">
      <x:c r="A494" s="50" t="str">
        <x:v>Tenay-Hauteville</x:v>
      </x:c>
      <x:c r="B494" s="50" t="str">
        <x:v>Genève</x:v>
      </x:c>
      <x:c r="C494" s="51" t="n">
        <x:v>108</x:v>
      </x:c>
      <x:c r="D494" s="50" t="str">
        <x:v>Enfant 4–11 ans</x:v>
      </x:c>
      <x:c r="E494" s="50" t="str">
        <x:v>Carte Famille Militaire</x:v>
      </x:c>
      <x:c r="F494" s="52" t="n">
        <x:v>6.6</x:v>
      </x:c>
      <x:c r="G494" s="52" t="n">
        <x:v>10</x:v>
      </x:c>
      <x:c r="H494" s="60" t="n">
        <x:f>G494-F494</x:f>
        <x:v>3.4000000000000004</x:v>
      </x:c>
      <x:c r="I494" s="50" t="str">
        <x:v>child-family-military</x:v>
      </x:c>
      <x:c r="J494" s="50" t="str">
        <x:v>tenay-hauteville|geneve</x:v>
      </x:c>
    </x:row>
    <x:row r="495">
      <x:c r="A495" s="50" t="str">
        <x:v>Tenay-Hauteville</x:v>
      </x:c>
      <x:c r="B495" s="50" t="str">
        <x:v>Genève</x:v>
      </x:c>
      <x:c r="C495" s="51" t="n">
        <x:v>108</x:v>
      </x:c>
      <x:c r="D495" s="50" t="str">
        <x:v>Enfant 4–11 ans</x:v>
      </x:c>
      <x:c r="E495" s="50" t="str">
        <x:v>Carte Familles Nombreuses (-30 %)</x:v>
      </x:c>
      <x:c r="F495" s="52" t="n">
        <x:v>6.2</x:v>
      </x:c>
      <x:c r="G495" s="52" t="n">
        <x:v>10.6</x:v>
      </x:c>
      <x:c r="H495" s="60" t="n">
        <x:f>G495-F495</x:f>
        <x:v>4.3999999999999995</x:v>
      </x:c>
      <x:c r="I495" s="50" t="str">
        <x:v>child-famille-nombreuse-30</x:v>
      </x:c>
      <x:c r="J495" s="50" t="str">
        <x:v>tenay-hauteville|geneve</x:v>
      </x:c>
    </x:row>
    <x:row r="496">
      <x:c r="A496" s="50" t="str">
        <x:v>Tenay-Hauteville</x:v>
      </x:c>
      <x:c r="B496" s="50" t="str">
        <x:v>Genève</x:v>
      </x:c>
      <x:c r="C496" s="51" t="n">
        <x:v>108</x:v>
      </x:c>
      <x:c r="D496" s="50" t="str">
        <x:v>Enfant 4–11 ans</x:v>
      </x:c>
      <x:c r="E496" s="50" t="str">
        <x:v>Carte Familles Nombreuses (-40 %)</x:v>
      </x:c>
      <x:c r="F496" s="52" t="n">
        <x:v>5.4</x:v>
      </x:c>
      <x:c r="G496" s="52" t="n">
        <x:v>9.8</x:v>
      </x:c>
      <x:c r="H496" s="60" t="n">
        <x:f>G496-F496</x:f>
        <x:v>4.4</x:v>
      </x:c>
      <x:c r="I496" s="50" t="str">
        <x:v>child-famille-nombreuse-40</x:v>
      </x:c>
      <x:c r="J496" s="50" t="str">
        <x:v>tenay-hauteville|geneve</x:v>
      </x:c>
    </x:row>
    <x:row r="497">
      <x:c r="A497" s="50" t="str">
        <x:v>Tenay-Hauteville</x:v>
      </x:c>
      <x:c r="B497" s="50" t="str">
        <x:v>Genève</x:v>
      </x:c>
      <x:c r="C497" s="51" t="n">
        <x:v>108</x:v>
      </x:c>
      <x:c r="D497" s="50" t="str">
        <x:v>Enfant 4–11 ans</x:v>
      </x:c>
      <x:c r="E497" s="50" t="str">
        <x:v>Carte Familles Nombreuses (-50 %)</x:v>
      </x:c>
      <x:c r="F497" s="52" t="n">
        <x:v>4.5</x:v>
      </x:c>
      <x:c r="G497" s="52" t="n">
        <x:v>8.9</x:v>
      </x:c>
      <x:c r="H497" s="60" t="n">
        <x:f>G497-F497</x:f>
        <x:v>4.4</x:v>
      </x:c>
      <x:c r="I497" s="50" t="str">
        <x:v>child-famille-nombreuse-50</x:v>
      </x:c>
      <x:c r="J497" s="50" t="str">
        <x:v>tenay-hauteville|geneve</x:v>
      </x:c>
    </x:row>
    <x:row r="498">
      <x:c r="A498" s="50" t="str">
        <x:v>Tenay-Hauteville</x:v>
      </x:c>
      <x:c r="B498" s="50" t="str">
        <x:v>Genève</x:v>
      </x:c>
      <x:c r="C498" s="51" t="n">
        <x:v>108</x:v>
      </x:c>
      <x:c r="D498" s="50" t="str">
        <x:v>Enfant 4–11 ans</x:v>
      </x:c>
      <x:c r="E498" s="50" t="str">
        <x:v>Carte Familles Nombreuses (-75 %)</x:v>
      </x:c>
      <x:c r="F498" s="52" t="n">
        <x:v>2.3</x:v>
      </x:c>
      <x:c r="G498" s="52" t="n">
        <x:v>6.7</x:v>
      </x:c>
      <x:c r="H498" s="60" t="n">
        <x:f>G498-F498</x:f>
        <x:v>4.4</x:v>
      </x:c>
      <x:c r="I498" s="50" t="str">
        <x:v>child-famille-nombreuse-75</x:v>
      </x:c>
      <x:c r="J498" s="50" t="str">
        <x:v>tenay-hauteville|geneve</x:v>
      </x:c>
    </x:row>
    <x:row r="499">
      <x:c r="A499" s="50" t="str">
        <x:v>Virieu-le-Grand – Belley</x:v>
      </x:c>
      <x:c r="B499" s="50" t="str">
        <x:v>Culoz</x:v>
      </x:c>
      <x:c r="C499" s="51" t="n">
        <x:v>11</x:v>
      </x:c>
      <x:c r="D499" s="50" t="str">
        <x:v>Adulte</x:v>
      </x:c>
      <x:c r="E499" s="50" t="str">
        <x:v>Aucune — Plein tarif</x:v>
      </x:c>
      <x:c r="F499" s="52" t="n">
        <x:v>3.8</x:v>
      </x:c>
      <x:c r="G499" s="52" t="n">
        <x:v>5.8</x:v>
      </x:c>
      <x:c r="H499" s="60" t="n">
        <x:f>G499-F499</x:f>
        <x:v>2</x:v>
      </x:c>
      <x:c r="I499" s="50" t="str">
        <x:v>adult-none</x:v>
      </x:c>
      <x:c r="J499" s="50" t="str">
        <x:v>virieu-le-grand-belley|culoz</x:v>
      </x:c>
    </x:row>
    <x:row r="500">
      <x:c r="A500" s="50" t="str">
        <x:v>Virieu-le-Grand – Belley</x:v>
      </x:c>
      <x:c r="B500" s="50" t="str">
        <x:v>Culoz</x:v>
      </x:c>
      <x:c r="C500" s="51" t="n">
        <x:v>11</x:v>
      </x:c>
      <x:c r="D500" s="50" t="str">
        <x:v>Adulte</x:v>
      </x:c>
      <x:c r="E500" s="50" t="str">
        <x:v>illico LIBERTÉ — Semaine (-25 %)</x:v>
      </x:c>
      <x:c r="F500" s="52" t="n">
        <x:v>2.9</x:v>
      </x:c>
      <x:c r="G500" s="52" t="n">
        <x:v>4.4</x:v>
      </x:c>
      <x:c r="H500" s="60" t="n">
        <x:f>G500-F500</x:f>
        <x:v>1.5000000000000004</x:v>
      </x:c>
      <x:c r="I500" s="50" t="str">
        <x:v>adult-illico-liberte-weekday</x:v>
      </x:c>
      <x:c r="J500" s="50" t="str">
        <x:v>virieu-le-grand-belley|culoz</x:v>
      </x:c>
    </x:row>
    <x:row r="501">
      <x:c r="A501" s="50" t="str">
        <x:v>Virieu-le-Grand – Belley</x:v>
      </x:c>
      <x:c r="B501" s="50" t="str">
        <x:v>Culoz</x:v>
      </x:c>
      <x:c r="C501" s="51" t="n">
        <x:v>11</x:v>
      </x:c>
      <x:c r="D501" s="50" t="str">
        <x:v>Adulte</x:v>
      </x:c>
      <x:c r="E501" s="50" t="str">
        <x:v>illico LIBERTÉ — Week-end / Jour férié (-50 %)</x:v>
      </x:c>
      <x:c r="F501" s="52" t="n">
        <x:v>1.9</x:v>
      </x:c>
      <x:c r="G501" s="52" t="n">
        <x:v>2.9</x:v>
      </x:c>
      <x:c r="H501" s="60" t="n">
        <x:f>G501-F501</x:f>
        <x:v>1</x:v>
      </x:c>
      <x:c r="I501" s="50" t="str">
        <x:v>adult-illico-liberte-weekend</x:v>
      </x:c>
      <x:c r="J501" s="50" t="str">
        <x:v>virieu-le-grand-belley|culoz</x:v>
      </x:c>
    </x:row>
    <x:row r="502">
      <x:c r="A502" s="50" t="str">
        <x:v>Virieu-le-Grand – Belley</x:v>
      </x:c>
      <x:c r="B502" s="50" t="str">
        <x:v>Culoz</x:v>
      </x:c>
      <x:c r="C502" s="51" t="n">
        <x:v>11</x:v>
      </x:c>
      <x:c r="D502" s="50" t="str">
        <x:v>Adulte</x:v>
      </x:c>
      <x:c r="E502" s="50" t="str">
        <x:v>illico LIBERTÉ — Accompagnant, Week-end / Jour férié (-50 %)</x:v>
      </x:c>
      <x:c r="F502" s="52" t="n">
        <x:v>1.9</x:v>
      </x:c>
      <x:c r="G502" s="52" t="n">
        <x:v>2.9</x:v>
      </x:c>
      <x:c r="H502" s="60" t="n">
        <x:f>G502-F502</x:f>
        <x:v>1</x:v>
      </x:c>
      <x:c r="I502" s="50" t="str">
        <x:v>adult-illico-liberte-weekend-companion</x:v>
      </x:c>
      <x:c r="J502" s="50" t="str">
        <x:v>virieu-le-grand-belley|culoz</x:v>
      </x:c>
    </x:row>
    <x:row r="503">
      <x:c r="A503" s="50" t="str">
        <x:v>Virieu-le-Grand – Belley</x:v>
      </x:c>
      <x:c r="B503" s="50" t="str">
        <x:v>Culoz</x:v>
      </x:c>
      <x:c r="C503" s="51" t="n">
        <x:v>11</x:v>
      </x:c>
      <x:c r="D503" s="50" t="str">
        <x:v>Adulte</x:v>
      </x:c>
      <x:c r="E503" s="50" t="str">
        <x:v>illico LIBERTÉ JEUNES (-50 %)</x:v>
      </x:c>
      <x:c r="F503" s="52" t="n">
        <x:v>1.9</x:v>
      </x:c>
      <x:c r="G503" s="52" t="n">
        <x:v>2.9</x:v>
      </x:c>
      <x:c r="H503" s="60" t="n">
        <x:f>G503-F503</x:f>
        <x:v>1</x:v>
      </x:c>
      <x:c r="I503" s="50" t="str">
        <x:v>adult-illico-jeunes</x:v>
      </x:c>
      <x:c r="J503" s="50" t="str">
        <x:v>virieu-le-grand-belley|culoz</x:v>
      </x:c>
    </x:row>
    <x:row r="504">
      <x:c r="A504" s="50" t="str">
        <x:v>Virieu-le-Grand – Belley</x:v>
      </x:c>
      <x:c r="B504" s="50" t="str">
        <x:v>Culoz</x:v>
      </x:c>
      <x:c r="C504" s="51" t="n">
        <x:v>11</x:v>
      </x:c>
      <x:c r="D504" s="50" t="str">
        <x:v>Adulte</x:v>
      </x:c>
      <x:c r="E504" s="50" t="str">
        <x:v>Carte Liberté SNCF (-25 %)</x:v>
      </x:c>
      <x:c r="F504" s="52" t="n">
        <x:v>2.9</x:v>
      </x:c>
      <x:c r="G504" s="52" t="n">
        <x:v>4.4</x:v>
      </x:c>
      <x:c r="H504" s="60" t="n">
        <x:f>G504-F504</x:f>
        <x:v>1.5000000000000004</x:v>
      </x:c>
      <x:c r="I504" s="50" t="str">
        <x:v>adult-liberte-nationale</x:v>
      </x:c>
      <x:c r="J504" s="50" t="str">
        <x:v>virieu-le-grand-belley|culoz</x:v>
      </x:c>
    </x:row>
    <x:row r="505">
      <x:c r="A505" s="50" t="str">
        <x:v>Virieu-le-Grand – Belley</x:v>
      </x:c>
      <x:c r="B505" s="50" t="str">
        <x:v>Culoz</x:v>
      </x:c>
      <x:c r="C505" s="51" t="n">
        <x:v>11</x:v>
      </x:c>
      <x:c r="D505" s="50" t="str">
        <x:v>Adulte</x:v>
      </x:c>
      <x:c r="E505" s="50" t="str">
        <x:v>Carte Familles Nombreuses (-30 %)</x:v>
      </x:c>
      <x:c r="F505" s="52" t="n">
        <x:v>2.3</x:v>
      </x:c>
      <x:c r="G505" s="52" t="n">
        <x:v>3.8</x:v>
      </x:c>
      <x:c r="H505" s="60" t="n">
        <x:f>G505-F505</x:f>
        <x:v>1.5</x:v>
      </x:c>
      <x:c r="I505" s="50" t="str">
        <x:v>adult-famille-nombreuse-30</x:v>
      </x:c>
      <x:c r="J505" s="50" t="str">
        <x:v>virieu-le-grand-belley|culoz</x:v>
      </x:c>
    </x:row>
    <x:row r="506">
      <x:c r="A506" s="50" t="str">
        <x:v>Virieu-le-Grand – Belley</x:v>
      </x:c>
      <x:c r="B506" s="50" t="str">
        <x:v>Culoz</x:v>
      </x:c>
      <x:c r="C506" s="51" t="n">
        <x:v>11</x:v>
      </x:c>
      <x:c r="D506" s="50" t="str">
        <x:v>Adulte</x:v>
      </x:c>
      <x:c r="E506" s="50" t="str">
        <x:v>Carte Familles Nombreuses (-40 %)</x:v>
      </x:c>
      <x:c r="F506" s="52" t="n">
        <x:v>2</x:v>
      </x:c>
      <x:c r="G506" s="52" t="n">
        <x:v>3.5</x:v>
      </x:c>
      <x:c r="H506" s="60" t="n">
        <x:f>G506-F506</x:f>
        <x:v>1.5</x:v>
      </x:c>
      <x:c r="I506" s="50" t="str">
        <x:v>adult-famille-nombreuse-40</x:v>
      </x:c>
      <x:c r="J506" s="50" t="str">
        <x:v>virieu-le-grand-belley|culoz</x:v>
      </x:c>
    </x:row>
    <x:row r="507">
      <x:c r="A507" s="50" t="str">
        <x:v>Virieu-le-Grand – Belley</x:v>
      </x:c>
      <x:c r="B507" s="50" t="str">
        <x:v>Culoz</x:v>
      </x:c>
      <x:c r="C507" s="51" t="n">
        <x:v>11</x:v>
      </x:c>
      <x:c r="D507" s="50" t="str">
        <x:v>Adulte</x:v>
      </x:c>
      <x:c r="E507" s="50" t="str">
        <x:v>Carte Familles Nombreuses (-50 %)</x:v>
      </x:c>
      <x:c r="F507" s="52" t="n">
        <x:v>1.6</x:v>
      </x:c>
      <x:c r="G507" s="52" t="n">
        <x:v>3.1</x:v>
      </x:c>
      <x:c r="H507" s="60" t="n">
        <x:f>G507-F507</x:f>
        <x:v>1.5</x:v>
      </x:c>
      <x:c r="I507" s="50" t="str">
        <x:v>adult-famille-nombreuse-50</x:v>
      </x:c>
      <x:c r="J507" s="50" t="str">
        <x:v>virieu-le-grand-belley|culoz</x:v>
      </x:c>
    </x:row>
    <x:row r="508">
      <x:c r="A508" s="50" t="str">
        <x:v>Virieu-le-Grand – Belley</x:v>
      </x:c>
      <x:c r="B508" s="50" t="str">
        <x:v>Culoz</x:v>
      </x:c>
      <x:c r="C508" s="51" t="n">
        <x:v>11</x:v>
      </x:c>
      <x:c r="D508" s="50" t="str">
        <x:v>Adulte</x:v>
      </x:c>
      <x:c r="E508" s="50" t="str">
        <x:v>Carte Familles Nombreuses (-75 %)</x:v>
      </x:c>
      <x:c r="F508" s="52" t="n">
        <x:v>1.2</x:v>
      </x:c>
      <x:c r="G508" s="52" t="n">
        <x:v>2.3</x:v>
      </x:c>
      <x:c r="H508" s="60" t="n">
        <x:f>G508-F508</x:f>
        <x:v>1.0999999999999999</x:v>
      </x:c>
      <x:c r="I508" s="50" t="str">
        <x:v>adult-famille-nombreuse-75</x:v>
      </x:c>
      <x:c r="J508" s="50" t="str">
        <x:v>virieu-le-grand-belley|culoz</x:v>
      </x:c>
    </x:row>
    <x:row r="509">
      <x:c r="A509" s="50" t="str">
        <x:v>Virieu-le-Grand – Belley</x:v>
      </x:c>
      <x:c r="B509" s="50" t="str">
        <x:v>Culoz</x:v>
      </x:c>
      <x:c r="C509" s="51" t="n">
        <x:v>11</x:v>
      </x:c>
      <x:c r="D509" s="50" t="str">
        <x:v>Adulte</x:v>
      </x:c>
      <x:c r="E509" s="50" t="str">
        <x:v>Carte Militaire (-75 %)</x:v>
      </x:c>
      <x:c r="F509" s="52" t="n">
        <x:v>1.2</x:v>
      </x:c>
      <x:c r="G509" s="52" t="n">
        <x:v>2.3</x:v>
      </x:c>
      <x:c r="H509" s="60" t="n">
        <x:f>G509-F509</x:f>
        <x:v>1.0999999999999999</x:v>
      </x:c>
      <x:c r="I509" s="50" t="str">
        <x:v>adult-military</x:v>
      </x:c>
      <x:c r="J509" s="50" t="str">
        <x:v>virieu-le-grand-belley|culoz</x:v>
      </x:c>
    </x:row>
    <x:row r="510">
      <x:c r="A510" s="50" t="str">
        <x:v>Virieu-le-Grand – Belley</x:v>
      </x:c>
      <x:c r="B510" s="50" t="str">
        <x:v>Culoz</x:v>
      </x:c>
      <x:c r="C510" s="51" t="n">
        <x:v>11</x:v>
      </x:c>
      <x:c r="D510" s="50" t="str">
        <x:v>Adulte</x:v>
      </x:c>
      <x:c r="E510" s="50" t="str">
        <x:v>Carte Famille Militaire (-40 %)</x:v>
      </x:c>
      <x:c r="F510" s="52" t="n">
        <x:v>2.3</x:v>
      </x:c>
      <x:c r="G510" s="52" t="n">
        <x:v>3.5</x:v>
      </x:c>
      <x:c r="H510" s="60" t="n">
        <x:f>G510-F510</x:f>
        <x:v>1.2000000000000002</x:v>
      </x:c>
      <x:c r="I510" s="50" t="str">
        <x:v>adult-family-military</x:v>
      </x:c>
      <x:c r="J510" s="50" t="str">
        <x:v>virieu-le-grand-belley|culoz</x:v>
      </x:c>
    </x:row>
    <x:row r="511">
      <x:c r="A511" s="50" t="str">
        <x:v>Virieu-le-Grand – Belley</x:v>
      </x:c>
      <x:c r="B511" s="50" t="str">
        <x:v>Culoz</x:v>
      </x:c>
      <x:c r="C511" s="51" t="n">
        <x:v>11</x:v>
      </x:c>
      <x:c r="D511" s="50" t="str">
        <x:v>Enfant 4–11 ans</x:v>
      </x:c>
      <x:c r="E511" s="50" t="str">
        <x:v>Aucune — Tarif Enfant 4–11 ans</x:v>
      </x:c>
      <x:c r="F511" s="52" t="n">
        <x:v>1.9</x:v>
      </x:c>
      <x:c r="G511" s="52" t="n">
        <x:v>2.9</x:v>
      </x:c>
      <x:c r="H511" s="60" t="n">
        <x:f>G511-F511</x:f>
        <x:v>1</x:v>
      </x:c>
      <x:c r="I511" s="50" t="str">
        <x:v>child-none</x:v>
      </x:c>
      <x:c r="J511" s="50" t="str">
        <x:v>virieu-le-grand-belley|culoz</x:v>
      </x:c>
    </x:row>
    <x:row r="512">
      <x:c r="A512" s="50" t="str">
        <x:v>Virieu-le-Grand – Belley</x:v>
      </x:c>
      <x:c r="B512" s="50" t="str">
        <x:v>Culoz</x:v>
      </x:c>
      <x:c r="C512" s="51" t="n">
        <x:v>11</x:v>
      </x:c>
      <x:c r="D512" s="50" t="str">
        <x:v>Enfant 4–11 ans</x:v>
      </x:c>
      <x:c r="E512" s="50" t="str">
        <x:v>illico LIBERTÉ — Accompagnant, Week-end / Jour férié</x:v>
      </x:c>
      <x:c r="F512" s="52" t="n">
        <x:v>1.2</x:v>
      </x:c>
      <x:c r="G512" s="52" t="n">
        <x:v>1.8</x:v>
      </x:c>
      <x:c r="H512" s="60" t="n">
        <x:f>G512-F512</x:f>
        <x:v>0.6000000000000001</x:v>
      </x:c>
      <x:c r="I512" s="50" t="str">
        <x:v>child-illico-liberte-weekend-companion</x:v>
      </x:c>
      <x:c r="J512" s="50" t="str">
        <x:v>virieu-le-grand-belley|culoz</x:v>
      </x:c>
    </x:row>
    <x:row r="513">
      <x:c r="A513" s="50" t="str">
        <x:v>Virieu-le-Grand – Belley</x:v>
      </x:c>
      <x:c r="B513" s="50" t="str">
        <x:v>Culoz</x:v>
      </x:c>
      <x:c r="C513" s="51" t="n">
        <x:v>11</x:v>
      </x:c>
      <x:c r="D513" s="50" t="str">
        <x:v>Enfant 4–11 ans</x:v>
      </x:c>
      <x:c r="E513" s="50" t="str">
        <x:v>Carte Famille Militaire</x:v>
      </x:c>
      <x:c r="F513" s="52" t="n">
        <x:v>1.2</x:v>
      </x:c>
      <x:c r="G513" s="52" t="n">
        <x:v>1.8</x:v>
      </x:c>
      <x:c r="H513" s="60" t="n">
        <x:f>G513-F513</x:f>
        <x:v>0.6000000000000001</x:v>
      </x:c>
      <x:c r="I513" s="50" t="str">
        <x:v>child-family-military</x:v>
      </x:c>
      <x:c r="J513" s="50" t="str">
        <x:v>virieu-le-grand-belley|culoz</x:v>
      </x:c>
    </x:row>
    <x:row r="514">
      <x:c r="A514" s="50" t="str">
        <x:v>Virieu-le-Grand – Belley</x:v>
      </x:c>
      <x:c r="B514" s="50" t="str">
        <x:v>Culoz</x:v>
      </x:c>
      <x:c r="C514" s="51" t="n">
        <x:v>11</x:v>
      </x:c>
      <x:c r="D514" s="50" t="str">
        <x:v>Enfant 4–11 ans</x:v>
      </x:c>
      <x:c r="E514" s="50" t="str">
        <x:v>Carte Familles Nombreuses (-30 %)</x:v>
      </x:c>
      <x:c r="F514" s="52" t="n">
        <x:v>1.2</x:v>
      </x:c>
      <x:c r="G514" s="52" t="n">
        <x:v>1.9</x:v>
      </x:c>
      <x:c r="H514" s="60" t="n">
        <x:f>G514-F514</x:f>
        <x:v>0.7</x:v>
      </x:c>
      <x:c r="I514" s="50" t="str">
        <x:v>child-famille-nombreuse-30</x:v>
      </x:c>
      <x:c r="J514" s="50" t="str">
        <x:v>virieu-le-grand-belley|culoz</x:v>
      </x:c>
    </x:row>
    <x:row r="515">
      <x:c r="A515" s="50" t="str">
        <x:v>Virieu-le-Grand – Belley</x:v>
      </x:c>
      <x:c r="B515" s="50" t="str">
        <x:v>Culoz</x:v>
      </x:c>
      <x:c r="C515" s="51" t="n">
        <x:v>11</x:v>
      </x:c>
      <x:c r="D515" s="50" t="str">
        <x:v>Enfant 4–11 ans</x:v>
      </x:c>
      <x:c r="E515" s="50" t="str">
        <x:v>Carte Familles Nombreuses (-40 %)</x:v>
      </x:c>
      <x:c r="F515" s="52" t="n">
        <x:v>1.2</x:v>
      </x:c>
      <x:c r="G515" s="52" t="n">
        <x:v>1.8</x:v>
      </x:c>
      <x:c r="H515" s="60" t="n">
        <x:f>G515-F515</x:f>
        <x:v>0.6000000000000001</x:v>
      </x:c>
      <x:c r="I515" s="50" t="str">
        <x:v>child-famille-nombreuse-40</x:v>
      </x:c>
      <x:c r="J515" s="50" t="str">
        <x:v>virieu-le-grand-belley|culoz</x:v>
      </x:c>
    </x:row>
    <x:row r="516">
      <x:c r="A516" s="50" t="str">
        <x:v>Virieu-le-Grand – Belley</x:v>
      </x:c>
      <x:c r="B516" s="50" t="str">
        <x:v>Culoz</x:v>
      </x:c>
      <x:c r="C516" s="51" t="n">
        <x:v>11</x:v>
      </x:c>
      <x:c r="D516" s="50" t="str">
        <x:v>Enfant 4–11 ans</x:v>
      </x:c>
      <x:c r="E516" s="50" t="str">
        <x:v>Carte Familles Nombreuses (-50 %)</x:v>
      </x:c>
      <x:c r="F516" s="52" t="n">
        <x:v>1.2</x:v>
      </x:c>
      <x:c r="G516" s="52" t="n">
        <x:v>1.6</x:v>
      </x:c>
      <x:c r="H516" s="60" t="n">
        <x:f>G516-F516</x:f>
        <x:v>0.40000000000000013</x:v>
      </x:c>
      <x:c r="I516" s="50" t="str">
        <x:v>child-famille-nombreuse-50</x:v>
      </x:c>
      <x:c r="J516" s="50" t="str">
        <x:v>virieu-le-grand-belley|culoz</x:v>
      </x:c>
    </x:row>
    <x:row r="517">
      <x:c r="A517" s="50" t="str">
        <x:v>Virieu-le-Grand – Belley</x:v>
      </x:c>
      <x:c r="B517" s="50" t="str">
        <x:v>Culoz</x:v>
      </x:c>
      <x:c r="C517" s="51" t="n">
        <x:v>11</x:v>
      </x:c>
      <x:c r="D517" s="50" t="str">
        <x:v>Enfant 4–11 ans</x:v>
      </x:c>
      <x:c r="E517" s="50" t="str">
        <x:v>Carte Familles Nombreuses (-75 %)</x:v>
      </x:c>
      <x:c r="F517" s="52" t="n">
        <x:v>1.2</x:v>
      </x:c>
      <x:c r="G517" s="52" t="n">
        <x:v>1.2</x:v>
      </x:c>
      <x:c r="H517" s="60" t="n">
        <x:f>G517-F517</x:f>
        <x:v>0</x:v>
      </x:c>
      <x:c r="I517" s="50" t="str">
        <x:v>child-famille-nombreuse-75</x:v>
      </x:c>
      <x:c r="J517" s="50" t="str">
        <x:v>virieu-le-grand-belley|culoz</x:v>
      </x:c>
    </x:row>
    <x:row r="518">
      <x:c r="A518" s="50" t="str">
        <x:v>Virieu-le-Grand – Belley</x:v>
      </x:c>
      <x:c r="B518" s="50" t="str">
        <x:v>Seyssel – Corbonod</x:v>
      </x:c>
      <x:c r="C518" s="51" t="n">
        <x:v>26</x:v>
      </x:c>
      <x:c r="D518" s="50" t="str">
        <x:v>Adulte</x:v>
      </x:c>
      <x:c r="E518" s="50" t="str">
        <x:v>Aucune — Plein tarif</x:v>
      </x:c>
      <x:c r="F518" s="52" t="n">
        <x:v>7.5</x:v>
      </x:c>
      <x:c r="G518" s="52" t="n">
        <x:v>11.4</x:v>
      </x:c>
      <x:c r="H518" s="60" t="n">
        <x:f>G518-F518</x:f>
        <x:v>3.9000000000000004</x:v>
      </x:c>
      <x:c r="I518" s="50" t="str">
        <x:v>adult-none</x:v>
      </x:c>
      <x:c r="J518" s="50" t="str">
        <x:v>virieu-le-grand-belley|seyssel-corbonod</x:v>
      </x:c>
    </x:row>
    <x:row r="519">
      <x:c r="A519" s="50" t="str">
        <x:v>Virieu-le-Grand – Belley</x:v>
      </x:c>
      <x:c r="B519" s="50" t="str">
        <x:v>Seyssel – Corbonod</x:v>
      </x:c>
      <x:c r="C519" s="51" t="n">
        <x:v>26</x:v>
      </x:c>
      <x:c r="D519" s="50" t="str">
        <x:v>Adulte</x:v>
      </x:c>
      <x:c r="E519" s="50" t="str">
        <x:v>illico LIBERTÉ — Semaine (-25 %)</x:v>
      </x:c>
      <x:c r="F519" s="52" t="n">
        <x:v>5.7</x:v>
      </x:c>
      <x:c r="G519" s="52" t="n">
        <x:v>8.6</x:v>
      </x:c>
      <x:c r="H519" s="60" t="n">
        <x:f>G519-F519</x:f>
        <x:v>2.8999999999999995</x:v>
      </x:c>
      <x:c r="I519" s="50" t="str">
        <x:v>adult-illico-liberte-weekday</x:v>
      </x:c>
      <x:c r="J519" s="50" t="str">
        <x:v>virieu-le-grand-belley|seyssel-corbonod</x:v>
      </x:c>
    </x:row>
    <x:row r="520">
      <x:c r="A520" s="50" t="str">
        <x:v>Virieu-le-Grand – Belley</x:v>
      </x:c>
      <x:c r="B520" s="50" t="str">
        <x:v>Seyssel – Corbonod</x:v>
      </x:c>
      <x:c r="C520" s="51" t="n">
        <x:v>26</x:v>
      </x:c>
      <x:c r="D520" s="50" t="str">
        <x:v>Adulte</x:v>
      </x:c>
      <x:c r="E520" s="50" t="str">
        <x:v>illico LIBERTÉ — Week-end / Jour férié (-50 %)</x:v>
      </x:c>
      <x:c r="F520" s="52" t="n">
        <x:v>3.8</x:v>
      </x:c>
      <x:c r="G520" s="52" t="n">
        <x:v>5.7</x:v>
      </x:c>
      <x:c r="H520" s="60" t="n">
        <x:f>G520-F520</x:f>
        <x:v>1.9000000000000004</x:v>
      </x:c>
      <x:c r="I520" s="50" t="str">
        <x:v>adult-illico-liberte-weekend</x:v>
      </x:c>
      <x:c r="J520" s="50" t="str">
        <x:v>virieu-le-grand-belley|seyssel-corbonod</x:v>
      </x:c>
    </x:row>
    <x:row r="521">
      <x:c r="A521" s="50" t="str">
        <x:v>Virieu-le-Grand – Belley</x:v>
      </x:c>
      <x:c r="B521" s="50" t="str">
        <x:v>Seyssel – Corbonod</x:v>
      </x:c>
      <x:c r="C521" s="51" t="n">
        <x:v>26</x:v>
      </x:c>
      <x:c r="D521" s="50" t="str">
        <x:v>Adulte</x:v>
      </x:c>
      <x:c r="E521" s="50" t="str">
        <x:v>illico LIBERTÉ — Accompagnant, Week-end / Jour férié (-50 %)</x:v>
      </x:c>
      <x:c r="F521" s="52" t="n">
        <x:v>3.8</x:v>
      </x:c>
      <x:c r="G521" s="52" t="n">
        <x:v>5.7</x:v>
      </x:c>
      <x:c r="H521" s="60" t="n">
        <x:f>G521-F521</x:f>
        <x:v>1.9000000000000004</x:v>
      </x:c>
      <x:c r="I521" s="50" t="str">
        <x:v>adult-illico-liberte-weekend-companion</x:v>
      </x:c>
      <x:c r="J521" s="50" t="str">
        <x:v>virieu-le-grand-belley|seyssel-corbonod</x:v>
      </x:c>
    </x:row>
    <x:row r="522">
      <x:c r="A522" s="50" t="str">
        <x:v>Virieu-le-Grand – Belley</x:v>
      </x:c>
      <x:c r="B522" s="50" t="str">
        <x:v>Seyssel – Corbonod</x:v>
      </x:c>
      <x:c r="C522" s="51" t="n">
        <x:v>26</x:v>
      </x:c>
      <x:c r="D522" s="50" t="str">
        <x:v>Adulte</x:v>
      </x:c>
      <x:c r="E522" s="50" t="str">
        <x:v>illico LIBERTÉ JEUNES (-50 %)</x:v>
      </x:c>
      <x:c r="F522" s="52" t="n">
        <x:v>3.8</x:v>
      </x:c>
      <x:c r="G522" s="52" t="n">
        <x:v>5.7</x:v>
      </x:c>
      <x:c r="H522" s="60" t="n">
        <x:f>G522-F522</x:f>
        <x:v>1.9000000000000004</x:v>
      </x:c>
      <x:c r="I522" s="50" t="str">
        <x:v>adult-illico-jeunes</x:v>
      </x:c>
      <x:c r="J522" s="50" t="str">
        <x:v>virieu-le-grand-belley|seyssel-corbonod</x:v>
      </x:c>
    </x:row>
    <x:row r="523">
      <x:c r="A523" s="50" t="str">
        <x:v>Virieu-le-Grand – Belley</x:v>
      </x:c>
      <x:c r="B523" s="50" t="str">
        <x:v>Seyssel – Corbonod</x:v>
      </x:c>
      <x:c r="C523" s="51" t="n">
        <x:v>26</x:v>
      </x:c>
      <x:c r="D523" s="50" t="str">
        <x:v>Adulte</x:v>
      </x:c>
      <x:c r="E523" s="50" t="str">
        <x:v>Carte Liberté SNCF (-25 %)</x:v>
      </x:c>
      <x:c r="F523" s="52" t="n">
        <x:v>5.7</x:v>
      </x:c>
      <x:c r="G523" s="52" t="n">
        <x:v>8.6</x:v>
      </x:c>
      <x:c r="H523" s="60" t="n">
        <x:f>G523-F523</x:f>
        <x:v>2.8999999999999995</x:v>
      </x:c>
      <x:c r="I523" s="50" t="str">
        <x:v>adult-liberte-nationale</x:v>
      </x:c>
      <x:c r="J523" s="50" t="str">
        <x:v>virieu-le-grand-belley|seyssel-corbonod</x:v>
      </x:c>
    </x:row>
    <x:row r="524">
      <x:c r="A524" s="50" t="str">
        <x:v>Virieu-le-Grand – Belley</x:v>
      </x:c>
      <x:c r="B524" s="50" t="str">
        <x:v>Seyssel – Corbonod</x:v>
      </x:c>
      <x:c r="C524" s="51" t="n">
        <x:v>26</x:v>
      </x:c>
      <x:c r="D524" s="50" t="str">
        <x:v>Adulte</x:v>
      </x:c>
      <x:c r="E524" s="50" t="str">
        <x:v>Carte Familles Nombreuses (-30 %)</x:v>
      </x:c>
      <x:c r="F524" s="52" t="n">
        <x:v>4.3</x:v>
      </x:c>
      <x:c r="G524" s="52" t="n">
        <x:v>7.4</x:v>
      </x:c>
      <x:c r="H524" s="60" t="n">
        <x:f>G524-F524</x:f>
        <x:v>3.1000000000000005</x:v>
      </x:c>
      <x:c r="I524" s="50" t="str">
        <x:v>adult-famille-nombreuse-30</x:v>
      </x:c>
      <x:c r="J524" s="50" t="str">
        <x:v>virieu-le-grand-belley|seyssel-corbonod</x:v>
      </x:c>
    </x:row>
    <x:row r="525">
      <x:c r="A525" s="50" t="str">
        <x:v>Virieu-le-Grand – Belley</x:v>
      </x:c>
      <x:c r="B525" s="50" t="str">
        <x:v>Seyssel – Corbonod</x:v>
      </x:c>
      <x:c r="C525" s="51" t="n">
        <x:v>26</x:v>
      </x:c>
      <x:c r="D525" s="50" t="str">
        <x:v>Adulte</x:v>
      </x:c>
      <x:c r="E525" s="50" t="str">
        <x:v>Carte Familles Nombreuses (-40 %)</x:v>
      </x:c>
      <x:c r="F525" s="52" t="n">
        <x:v>3.7</x:v>
      </x:c>
      <x:c r="G525" s="52" t="n">
        <x:v>6.8</x:v>
      </x:c>
      <x:c r="H525" s="60" t="n">
        <x:f>G525-F525</x:f>
        <x:v>3.0999999999999996</x:v>
      </x:c>
      <x:c r="I525" s="50" t="str">
        <x:v>adult-famille-nombreuse-40</x:v>
      </x:c>
      <x:c r="J525" s="50" t="str">
        <x:v>virieu-le-grand-belley|seyssel-corbonod</x:v>
      </x:c>
    </x:row>
    <x:row r="526">
      <x:c r="A526" s="50" t="str">
        <x:v>Virieu-le-Grand – Belley</x:v>
      </x:c>
      <x:c r="B526" s="50" t="str">
        <x:v>Seyssel – Corbonod</x:v>
      </x:c>
      <x:c r="C526" s="51" t="n">
        <x:v>26</x:v>
      </x:c>
      <x:c r="D526" s="50" t="str">
        <x:v>Adulte</x:v>
      </x:c>
      <x:c r="E526" s="50" t="str">
        <x:v>Carte Familles Nombreuses (-50 %)</x:v>
      </x:c>
      <x:c r="F526" s="52" t="n">
        <x:v>3.1</x:v>
      </x:c>
      <x:c r="G526" s="52" t="n">
        <x:v>6.2</x:v>
      </x:c>
      <x:c r="H526" s="60" t="n">
        <x:f>G526-F526</x:f>
        <x:v>3.1</x:v>
      </x:c>
      <x:c r="I526" s="50" t="str">
        <x:v>adult-famille-nombreuse-50</x:v>
      </x:c>
      <x:c r="J526" s="50" t="str">
        <x:v>virieu-le-grand-belley|seyssel-corbonod</x:v>
      </x:c>
    </x:row>
    <x:row r="527">
      <x:c r="A527" s="50" t="str">
        <x:v>Virieu-le-Grand – Belley</x:v>
      </x:c>
      <x:c r="B527" s="50" t="str">
        <x:v>Seyssel – Corbonod</x:v>
      </x:c>
      <x:c r="C527" s="51" t="n">
        <x:v>26</x:v>
      </x:c>
      <x:c r="D527" s="50" t="str">
        <x:v>Adulte</x:v>
      </x:c>
      <x:c r="E527" s="50" t="str">
        <x:v>Carte Familles Nombreuses (-75 %)</x:v>
      </x:c>
      <x:c r="F527" s="52" t="n">
        <x:v>1.6</x:v>
      </x:c>
      <x:c r="G527" s="52" t="n">
        <x:v>4.7</x:v>
      </x:c>
      <x:c r="H527" s="60" t="n">
        <x:f>G527-F527</x:f>
        <x:v>3.1</x:v>
      </x:c>
      <x:c r="I527" s="50" t="str">
        <x:v>adult-famille-nombreuse-75</x:v>
      </x:c>
      <x:c r="J527" s="50" t="str">
        <x:v>virieu-le-grand-belley|seyssel-corbonod</x:v>
      </x:c>
    </x:row>
    <x:row r="528">
      <x:c r="A528" s="50" t="str">
        <x:v>Virieu-le-Grand – Belley</x:v>
      </x:c>
      <x:c r="B528" s="50" t="str">
        <x:v>Seyssel – Corbonod</x:v>
      </x:c>
      <x:c r="C528" s="51" t="n">
        <x:v>26</x:v>
      </x:c>
      <x:c r="D528" s="50" t="str">
        <x:v>Adulte</x:v>
      </x:c>
      <x:c r="E528" s="50" t="str">
        <x:v>Carte Militaire (-75 %)</x:v>
      </x:c>
      <x:c r="F528" s="52" t="n">
        <x:v>1.6</x:v>
      </x:c>
      <x:c r="G528" s="52" t="n">
        <x:v>4.7</x:v>
      </x:c>
      <x:c r="H528" s="60" t="n">
        <x:f>G528-F528</x:f>
        <x:v>3.1</x:v>
      </x:c>
      <x:c r="I528" s="50" t="str">
        <x:v>adult-military</x:v>
      </x:c>
      <x:c r="J528" s="50" t="str">
        <x:v>virieu-le-grand-belley|seyssel-corbonod</x:v>
      </x:c>
    </x:row>
    <x:row r="529">
      <x:c r="A529" s="50" t="str">
        <x:v>Virieu-le-Grand – Belley</x:v>
      </x:c>
      <x:c r="B529" s="50" t="str">
        <x:v>Seyssel – Corbonod</x:v>
      </x:c>
      <x:c r="C529" s="51" t="n">
        <x:v>26</x:v>
      </x:c>
      <x:c r="D529" s="50" t="str">
        <x:v>Adulte</x:v>
      </x:c>
      <x:c r="E529" s="50" t="str">
        <x:v>Carte Famille Militaire (-40 %)</x:v>
      </x:c>
      <x:c r="F529" s="52" t="n">
        <x:v>4.5</x:v>
      </x:c>
      <x:c r="G529" s="52" t="n">
        <x:v>6.9</x:v>
      </x:c>
      <x:c r="H529" s="60" t="n">
        <x:f>G529-F529</x:f>
        <x:v>2.4000000000000004</x:v>
      </x:c>
      <x:c r="I529" s="50" t="str">
        <x:v>adult-family-military</x:v>
      </x:c>
      <x:c r="J529" s="50" t="str">
        <x:v>virieu-le-grand-belley|seyssel-corbonod</x:v>
      </x:c>
    </x:row>
    <x:row r="530">
      <x:c r="A530" s="50" t="str">
        <x:v>Virieu-le-Grand – Belley</x:v>
      </x:c>
      <x:c r="B530" s="50" t="str">
        <x:v>Seyssel – Corbonod</x:v>
      </x:c>
      <x:c r="C530" s="51" t="n">
        <x:v>26</x:v>
      </x:c>
      <x:c r="D530" s="50" t="str">
        <x:v>Enfant 4–11 ans</x:v>
      </x:c>
      <x:c r="E530" s="50" t="str">
        <x:v>Aucune — Tarif Enfant 4–11 ans</x:v>
      </x:c>
      <x:c r="F530" s="52" t="n">
        <x:v>3.8</x:v>
      </x:c>
      <x:c r="G530" s="52" t="n">
        <x:v>5.7</x:v>
      </x:c>
      <x:c r="H530" s="60" t="n">
        <x:f>G530-F530</x:f>
        <x:v>1.9000000000000004</x:v>
      </x:c>
      <x:c r="I530" s="50" t="str">
        <x:v>child-none</x:v>
      </x:c>
      <x:c r="J530" s="50" t="str">
        <x:v>virieu-le-grand-belley|seyssel-corbonod</x:v>
      </x:c>
    </x:row>
    <x:row r="531">
      <x:c r="A531" s="50" t="str">
        <x:v>Virieu-le-Grand – Belley</x:v>
      </x:c>
      <x:c r="B531" s="50" t="str">
        <x:v>Seyssel – Corbonod</x:v>
      </x:c>
      <x:c r="C531" s="51" t="n">
        <x:v>26</x:v>
      </x:c>
      <x:c r="D531" s="50" t="str">
        <x:v>Enfant 4–11 ans</x:v>
      </x:c>
      <x:c r="E531" s="50" t="str">
        <x:v>illico LIBERTÉ — Accompagnant, Week-end / Jour férié</x:v>
      </x:c>
      <x:c r="F531" s="52" t="n">
        <x:v>1.9</x:v>
      </x:c>
      <x:c r="G531" s="52" t="n">
        <x:v>2.9</x:v>
      </x:c>
      <x:c r="H531" s="60" t="n">
        <x:f>G531-F531</x:f>
        <x:v>1</x:v>
      </x:c>
      <x:c r="I531" s="50" t="str">
        <x:v>child-illico-liberte-weekend-companion</x:v>
      </x:c>
      <x:c r="J531" s="50" t="str">
        <x:v>virieu-le-grand-belley|seyssel-corbonod</x:v>
      </x:c>
    </x:row>
    <x:row r="532">
      <x:c r="A532" s="50" t="str">
        <x:v>Virieu-le-Grand – Belley</x:v>
      </x:c>
      <x:c r="B532" s="50" t="str">
        <x:v>Seyssel – Corbonod</x:v>
      </x:c>
      <x:c r="C532" s="51" t="n">
        <x:v>26</x:v>
      </x:c>
      <x:c r="D532" s="50" t="str">
        <x:v>Enfant 4–11 ans</x:v>
      </x:c>
      <x:c r="E532" s="50" t="str">
        <x:v>Carte Famille Militaire</x:v>
      </x:c>
      <x:c r="F532" s="52" t="n">
        <x:v>2.3</x:v>
      </x:c>
      <x:c r="G532" s="52" t="n">
        <x:v>3.5</x:v>
      </x:c>
      <x:c r="H532" s="60" t="n">
        <x:f>G532-F532</x:f>
        <x:v>1.2000000000000002</x:v>
      </x:c>
      <x:c r="I532" s="50" t="str">
        <x:v>child-family-military</x:v>
      </x:c>
      <x:c r="J532" s="50" t="str">
        <x:v>virieu-le-grand-belley|seyssel-corbonod</x:v>
      </x:c>
    </x:row>
    <x:row r="533">
      <x:c r="A533" s="50" t="str">
        <x:v>Virieu-le-Grand – Belley</x:v>
      </x:c>
      <x:c r="B533" s="50" t="str">
        <x:v>Seyssel – Corbonod</x:v>
      </x:c>
      <x:c r="C533" s="51" t="n">
        <x:v>26</x:v>
      </x:c>
      <x:c r="D533" s="50" t="str">
        <x:v>Enfant 4–11 ans</x:v>
      </x:c>
      <x:c r="E533" s="50" t="str">
        <x:v>Carte Familles Nombreuses (-30 %)</x:v>
      </x:c>
      <x:c r="F533" s="52" t="n">
        <x:v>2.2</x:v>
      </x:c>
      <x:c r="G533" s="52" t="n">
        <x:v>3.7</x:v>
      </x:c>
      <x:c r="H533" s="60" t="n">
        <x:f>G533-F533</x:f>
        <x:v>1.5</x:v>
      </x:c>
      <x:c r="I533" s="50" t="str">
        <x:v>child-famille-nombreuse-30</x:v>
      </x:c>
      <x:c r="J533" s="50" t="str">
        <x:v>virieu-le-grand-belley|seyssel-corbonod</x:v>
      </x:c>
    </x:row>
    <x:row r="534">
      <x:c r="A534" s="50" t="str">
        <x:v>Virieu-le-Grand – Belley</x:v>
      </x:c>
      <x:c r="B534" s="50" t="str">
        <x:v>Seyssel – Corbonod</x:v>
      </x:c>
      <x:c r="C534" s="51" t="n">
        <x:v>26</x:v>
      </x:c>
      <x:c r="D534" s="50" t="str">
        <x:v>Enfant 4–11 ans</x:v>
      </x:c>
      <x:c r="E534" s="50" t="str">
        <x:v>Carte Familles Nombreuses (-40 %)</x:v>
      </x:c>
      <x:c r="F534" s="52" t="n">
        <x:v>1.9</x:v>
      </x:c>
      <x:c r="G534" s="52" t="n">
        <x:v>3.4</x:v>
      </x:c>
      <x:c r="H534" s="60" t="n">
        <x:f>G534-F534</x:f>
        <x:v>1.5</x:v>
      </x:c>
      <x:c r="I534" s="50" t="str">
        <x:v>child-famille-nombreuse-40</x:v>
      </x:c>
      <x:c r="J534" s="50" t="str">
        <x:v>virieu-le-grand-belley|seyssel-corbonod</x:v>
      </x:c>
    </x:row>
    <x:row r="535">
      <x:c r="A535" s="50" t="str">
        <x:v>Virieu-le-Grand – Belley</x:v>
      </x:c>
      <x:c r="B535" s="50" t="str">
        <x:v>Seyssel – Corbonod</x:v>
      </x:c>
      <x:c r="C535" s="51" t="n">
        <x:v>26</x:v>
      </x:c>
      <x:c r="D535" s="50" t="str">
        <x:v>Enfant 4–11 ans</x:v>
      </x:c>
      <x:c r="E535" s="50" t="str">
        <x:v>Carte Familles Nombreuses (-50 %)</x:v>
      </x:c>
      <x:c r="F535" s="52" t="n">
        <x:v>1.6</x:v>
      </x:c>
      <x:c r="G535" s="52" t="n">
        <x:v>3.1</x:v>
      </x:c>
      <x:c r="H535" s="60" t="n">
        <x:f>G535-F535</x:f>
        <x:v>1.5</x:v>
      </x:c>
      <x:c r="I535" s="50" t="str">
        <x:v>child-famille-nombreuse-50</x:v>
      </x:c>
      <x:c r="J535" s="50" t="str">
        <x:v>virieu-le-grand-belley|seyssel-corbonod</x:v>
      </x:c>
    </x:row>
    <x:row r="536">
      <x:c r="A536" s="50" t="str">
        <x:v>Virieu-le-Grand – Belley</x:v>
      </x:c>
      <x:c r="B536" s="50" t="str">
        <x:v>Seyssel – Corbonod</x:v>
      </x:c>
      <x:c r="C536" s="51" t="n">
        <x:v>26</x:v>
      </x:c>
      <x:c r="D536" s="50" t="str">
        <x:v>Enfant 4–11 ans</x:v>
      </x:c>
      <x:c r="E536" s="50" t="str">
        <x:v>Carte Familles Nombreuses (-75 %)</x:v>
      </x:c>
      <x:c r="F536" s="52" t="n">
        <x:v>1.2</x:v>
      </x:c>
      <x:c r="G536" s="52" t="n">
        <x:v>2.4</x:v>
      </x:c>
      <x:c r="H536" s="60" t="n">
        <x:f>G536-F536</x:f>
        <x:v>1.2</x:v>
      </x:c>
      <x:c r="I536" s="50" t="str">
        <x:v>child-famille-nombreuse-75</x:v>
      </x:c>
      <x:c r="J536" s="50" t="str">
        <x:v>virieu-le-grand-belley|seyssel-corbonod</x:v>
      </x:c>
    </x:row>
    <x:row r="537">
      <x:c r="A537" s="50" t="str">
        <x:v>Virieu-le-Grand – Belley</x:v>
      </x:c>
      <x:c r="B537" s="50" t="str">
        <x:v>Bellegarde-sur-Valserine</x:v>
      </x:c>
      <x:c r="C537" s="51" t="n">
        <x:v>45</x:v>
      </x:c>
      <x:c r="D537" s="50" t="str">
        <x:v>Adulte</x:v>
      </x:c>
      <x:c r="E537" s="50" t="str">
        <x:v>Aucune — Plein tarif</x:v>
      </x:c>
      <x:c r="F537" s="52" t="n">
        <x:v>11.4</x:v>
      </x:c>
      <x:c r="G537" s="52" t="n">
        <x:v>17.3</x:v>
      </x:c>
      <x:c r="H537" s="60" t="n">
        <x:f>G537-F537</x:f>
        <x:v>5.9</x:v>
      </x:c>
      <x:c r="I537" s="50" t="str">
        <x:v>adult-none</x:v>
      </x:c>
      <x:c r="J537" s="50" t="str">
        <x:v>virieu-le-grand-belley|bellegarde-sur-valserine</x:v>
      </x:c>
    </x:row>
    <x:row r="538">
      <x:c r="A538" s="50" t="str">
        <x:v>Virieu-le-Grand – Belley</x:v>
      </x:c>
      <x:c r="B538" s="50" t="str">
        <x:v>Bellegarde-sur-Valserine</x:v>
      </x:c>
      <x:c r="C538" s="51" t="n">
        <x:v>45</x:v>
      </x:c>
      <x:c r="D538" s="50" t="str">
        <x:v>Adulte</x:v>
      </x:c>
      <x:c r="E538" s="50" t="str">
        <x:v>illico LIBERTÉ — Semaine (-25 %)</x:v>
      </x:c>
      <x:c r="F538" s="52" t="n">
        <x:v>8.6</x:v>
      </x:c>
      <x:c r="G538" s="52" t="n">
        <x:v>13</x:v>
      </x:c>
      <x:c r="H538" s="60" t="n">
        <x:f>G538-F538</x:f>
        <x:v>4.4</x:v>
      </x:c>
      <x:c r="I538" s="50" t="str">
        <x:v>adult-illico-liberte-weekday</x:v>
      </x:c>
      <x:c r="J538" s="50" t="str">
        <x:v>virieu-le-grand-belley|bellegarde-sur-valserine</x:v>
      </x:c>
    </x:row>
    <x:row r="539">
      <x:c r="A539" s="50" t="str">
        <x:v>Virieu-le-Grand – Belley</x:v>
      </x:c>
      <x:c r="B539" s="50" t="str">
        <x:v>Bellegarde-sur-Valserine</x:v>
      </x:c>
      <x:c r="C539" s="51" t="n">
        <x:v>45</x:v>
      </x:c>
      <x:c r="D539" s="50" t="str">
        <x:v>Adulte</x:v>
      </x:c>
      <x:c r="E539" s="50" t="str">
        <x:v>illico LIBERTÉ — Week-end / Jour férié (-50 %)</x:v>
      </x:c>
      <x:c r="F539" s="52" t="n">
        <x:v>5.7</x:v>
      </x:c>
      <x:c r="G539" s="52" t="n">
        <x:v>8.7</x:v>
      </x:c>
      <x:c r="H539" s="60" t="n">
        <x:f>G539-F539</x:f>
        <x:v>2.999999999999999</x:v>
      </x:c>
      <x:c r="I539" s="50" t="str">
        <x:v>adult-illico-liberte-weekend</x:v>
      </x:c>
      <x:c r="J539" s="50" t="str">
        <x:v>virieu-le-grand-belley|bellegarde-sur-valserine</x:v>
      </x:c>
    </x:row>
    <x:row r="540">
      <x:c r="A540" s="50" t="str">
        <x:v>Virieu-le-Grand – Belley</x:v>
      </x:c>
      <x:c r="B540" s="50" t="str">
        <x:v>Bellegarde-sur-Valserine</x:v>
      </x:c>
      <x:c r="C540" s="51" t="n">
        <x:v>45</x:v>
      </x:c>
      <x:c r="D540" s="50" t="str">
        <x:v>Adulte</x:v>
      </x:c>
      <x:c r="E540" s="50" t="str">
        <x:v>illico LIBERTÉ — Accompagnant, Week-end / Jour férié (-50 %)</x:v>
      </x:c>
      <x:c r="F540" s="52" t="n">
        <x:v>5.7</x:v>
      </x:c>
      <x:c r="G540" s="52" t="n">
        <x:v>8.7</x:v>
      </x:c>
      <x:c r="H540" s="60" t="n">
        <x:f>G540-F540</x:f>
        <x:v>2.999999999999999</x:v>
      </x:c>
      <x:c r="I540" s="50" t="str">
        <x:v>adult-illico-liberte-weekend-companion</x:v>
      </x:c>
      <x:c r="J540" s="50" t="str">
        <x:v>virieu-le-grand-belley|bellegarde-sur-valserine</x:v>
      </x:c>
    </x:row>
    <x:row r="541">
      <x:c r="A541" s="50" t="str">
        <x:v>Virieu-le-Grand – Belley</x:v>
      </x:c>
      <x:c r="B541" s="50" t="str">
        <x:v>Bellegarde-sur-Valserine</x:v>
      </x:c>
      <x:c r="C541" s="51" t="n">
        <x:v>45</x:v>
      </x:c>
      <x:c r="D541" s="50" t="str">
        <x:v>Adulte</x:v>
      </x:c>
      <x:c r="E541" s="50" t="str">
        <x:v>illico LIBERTÉ JEUNES (-50 %)</x:v>
      </x:c>
      <x:c r="F541" s="52" t="n">
        <x:v>5.7</x:v>
      </x:c>
      <x:c r="G541" s="52" t="n">
        <x:v>8.7</x:v>
      </x:c>
      <x:c r="H541" s="60" t="n">
        <x:f>G541-F541</x:f>
        <x:v>2.999999999999999</x:v>
      </x:c>
      <x:c r="I541" s="50" t="str">
        <x:v>adult-illico-jeunes</x:v>
      </x:c>
      <x:c r="J541" s="50" t="str">
        <x:v>virieu-le-grand-belley|bellegarde-sur-valserine</x:v>
      </x:c>
    </x:row>
    <x:row r="542">
      <x:c r="A542" s="50" t="str">
        <x:v>Virieu-le-Grand – Belley</x:v>
      </x:c>
      <x:c r="B542" s="50" t="str">
        <x:v>Bellegarde-sur-Valserine</x:v>
      </x:c>
      <x:c r="C542" s="51" t="n">
        <x:v>45</x:v>
      </x:c>
      <x:c r="D542" s="50" t="str">
        <x:v>Adulte</x:v>
      </x:c>
      <x:c r="E542" s="50" t="str">
        <x:v>Carte Liberté SNCF (-25 %)</x:v>
      </x:c>
      <x:c r="F542" s="52" t="n">
        <x:v>8.6</x:v>
      </x:c>
      <x:c r="G542" s="52" t="n">
        <x:v>13</x:v>
      </x:c>
      <x:c r="H542" s="60" t="n">
        <x:f>G542-F542</x:f>
        <x:v>4.4</x:v>
      </x:c>
      <x:c r="I542" s="50" t="str">
        <x:v>adult-liberte-nationale</x:v>
      </x:c>
      <x:c r="J542" s="50" t="str">
        <x:v>virieu-le-grand-belley|bellegarde-sur-valserine</x:v>
      </x:c>
    </x:row>
    <x:row r="543">
      <x:c r="A543" s="50" t="str">
        <x:v>Virieu-le-Grand – Belley</x:v>
      </x:c>
      <x:c r="B543" s="50" t="str">
        <x:v>Bellegarde-sur-Valserine</x:v>
      </x:c>
      <x:c r="C543" s="51" t="n">
        <x:v>45</x:v>
      </x:c>
      <x:c r="D543" s="50" t="str">
        <x:v>Adulte</x:v>
      </x:c>
      <x:c r="E543" s="50" t="str">
        <x:v>Carte Familles Nombreuses (-30 %)</x:v>
      </x:c>
      <x:c r="F543" s="52" t="n">
        <x:v>6.6</x:v>
      </x:c>
      <x:c r="G543" s="52" t="n">
        <x:v>11.2</x:v>
      </x:c>
      <x:c r="H543" s="60" t="n">
        <x:f>G543-F543</x:f>
        <x:v>4.6</x:v>
      </x:c>
      <x:c r="I543" s="50" t="str">
        <x:v>adult-famille-nombreuse-30</x:v>
      </x:c>
      <x:c r="J543" s="50" t="str">
        <x:v>virieu-le-grand-belley|bellegarde-sur-valserine</x:v>
      </x:c>
    </x:row>
    <x:row r="544">
      <x:c r="A544" s="50" t="str">
        <x:v>Virieu-le-Grand – Belley</x:v>
      </x:c>
      <x:c r="B544" s="50" t="str">
        <x:v>Bellegarde-sur-Valserine</x:v>
      </x:c>
      <x:c r="C544" s="51" t="n">
        <x:v>45</x:v>
      </x:c>
      <x:c r="D544" s="50" t="str">
        <x:v>Adulte</x:v>
      </x:c>
      <x:c r="E544" s="50" t="str">
        <x:v>Carte Familles Nombreuses (-40 %)</x:v>
      </x:c>
      <x:c r="F544" s="52" t="n">
        <x:v>5.6</x:v>
      </x:c>
      <x:c r="G544" s="52" t="n">
        <x:v>10.2</x:v>
      </x:c>
      <x:c r="H544" s="60" t="n">
        <x:f>G544-F544</x:f>
        <x:v>4.6</x:v>
      </x:c>
      <x:c r="I544" s="50" t="str">
        <x:v>adult-famille-nombreuse-40</x:v>
      </x:c>
      <x:c r="J544" s="50" t="str">
        <x:v>virieu-le-grand-belley|bellegarde-sur-valserine</x:v>
      </x:c>
    </x:row>
    <x:row r="545">
      <x:c r="A545" s="50" t="str">
        <x:v>Virieu-le-Grand – Belley</x:v>
      </x:c>
      <x:c r="B545" s="50" t="str">
        <x:v>Bellegarde-sur-Valserine</x:v>
      </x:c>
      <x:c r="C545" s="51" t="n">
        <x:v>45</x:v>
      </x:c>
      <x:c r="D545" s="50" t="str">
        <x:v>Adulte</x:v>
      </x:c>
      <x:c r="E545" s="50" t="str">
        <x:v>Carte Familles Nombreuses (-50 %)</x:v>
      </x:c>
      <x:c r="F545" s="52" t="n">
        <x:v>4.7</x:v>
      </x:c>
      <x:c r="G545" s="52" t="n">
        <x:v>9.3</x:v>
      </x:c>
      <x:c r="H545" s="60" t="n">
        <x:f>G545-F545</x:f>
        <x:v>4.6000000000000005</x:v>
      </x:c>
      <x:c r="I545" s="50" t="str">
        <x:v>adult-famille-nombreuse-50</x:v>
      </x:c>
      <x:c r="J545" s="50" t="str">
        <x:v>virieu-le-grand-belley|bellegarde-sur-valserine</x:v>
      </x:c>
    </x:row>
    <x:row r="546">
      <x:c r="A546" s="50" t="str">
        <x:v>Virieu-le-Grand – Belley</x:v>
      </x:c>
      <x:c r="B546" s="50" t="str">
        <x:v>Bellegarde-sur-Valserine</x:v>
      </x:c>
      <x:c r="C546" s="51" t="n">
        <x:v>45</x:v>
      </x:c>
      <x:c r="D546" s="50" t="str">
        <x:v>Adulte</x:v>
      </x:c>
      <x:c r="E546" s="50" t="str">
        <x:v>Carte Familles Nombreuses (-75 %)</x:v>
      </x:c>
      <x:c r="F546" s="52" t="n">
        <x:v>2.4</x:v>
      </x:c>
      <x:c r="G546" s="52" t="n">
        <x:v>7</x:v>
      </x:c>
      <x:c r="H546" s="60" t="n">
        <x:f>G546-F546</x:f>
        <x:v>4.6</x:v>
      </x:c>
      <x:c r="I546" s="50" t="str">
        <x:v>adult-famille-nombreuse-75</x:v>
      </x:c>
      <x:c r="J546" s="50" t="str">
        <x:v>virieu-le-grand-belley|bellegarde-sur-valserine</x:v>
      </x:c>
    </x:row>
    <x:row r="547">
      <x:c r="A547" s="50" t="str">
        <x:v>Virieu-le-Grand – Belley</x:v>
      </x:c>
      <x:c r="B547" s="50" t="str">
        <x:v>Bellegarde-sur-Valserine</x:v>
      </x:c>
      <x:c r="C547" s="51" t="n">
        <x:v>45</x:v>
      </x:c>
      <x:c r="D547" s="50" t="str">
        <x:v>Adulte</x:v>
      </x:c>
      <x:c r="E547" s="50" t="str">
        <x:v>Carte Militaire (-75 %)</x:v>
      </x:c>
      <x:c r="F547" s="52" t="n">
        <x:v>2.4</x:v>
      </x:c>
      <x:c r="G547" s="52" t="n">
        <x:v>7</x:v>
      </x:c>
      <x:c r="H547" s="60" t="n">
        <x:f>G547-F547</x:f>
        <x:v>4.6</x:v>
      </x:c>
      <x:c r="I547" s="50" t="str">
        <x:v>adult-military</x:v>
      </x:c>
      <x:c r="J547" s="50" t="str">
        <x:v>virieu-le-grand-belley|bellegarde-sur-valserine</x:v>
      </x:c>
    </x:row>
    <x:row r="548">
      <x:c r="A548" s="50" t="str">
        <x:v>Virieu-le-Grand – Belley</x:v>
      </x:c>
      <x:c r="B548" s="50" t="str">
        <x:v>Bellegarde-sur-Valserine</x:v>
      </x:c>
      <x:c r="C548" s="51" t="n">
        <x:v>45</x:v>
      </x:c>
      <x:c r="D548" s="50" t="str">
        <x:v>Adulte</x:v>
      </x:c>
      <x:c r="E548" s="50" t="str">
        <x:v>Carte Famille Militaire (-40 %)</x:v>
      </x:c>
      <x:c r="F548" s="52" t="n">
        <x:v>6.9</x:v>
      </x:c>
      <x:c r="G548" s="52" t="n">
        <x:v>10.4</x:v>
      </x:c>
      <x:c r="H548" s="60" t="n">
        <x:f>G548-F548</x:f>
        <x:v>3.5</x:v>
      </x:c>
      <x:c r="I548" s="50" t="str">
        <x:v>adult-family-military</x:v>
      </x:c>
      <x:c r="J548" s="50" t="str">
        <x:v>virieu-le-grand-belley|bellegarde-sur-valserine</x:v>
      </x:c>
    </x:row>
    <x:row r="549">
      <x:c r="A549" s="50" t="str">
        <x:v>Virieu-le-Grand – Belley</x:v>
      </x:c>
      <x:c r="B549" s="50" t="str">
        <x:v>Bellegarde-sur-Valserine</x:v>
      </x:c>
      <x:c r="C549" s="51" t="n">
        <x:v>45</x:v>
      </x:c>
      <x:c r="D549" s="50" t="str">
        <x:v>Enfant 4–11 ans</x:v>
      </x:c>
      <x:c r="E549" s="50" t="str">
        <x:v>Aucune — Tarif Enfant 4–11 ans</x:v>
      </x:c>
      <x:c r="F549" s="52" t="n">
        <x:v>5.7</x:v>
      </x:c>
      <x:c r="G549" s="52" t="n">
        <x:v>8.7</x:v>
      </x:c>
      <x:c r="H549" s="60" t="n">
        <x:f>G549-F549</x:f>
        <x:v>2.999999999999999</x:v>
      </x:c>
      <x:c r="I549" s="50" t="str">
        <x:v>child-none</x:v>
      </x:c>
      <x:c r="J549" s="50" t="str">
        <x:v>virieu-le-grand-belley|bellegarde-sur-valserine</x:v>
      </x:c>
    </x:row>
    <x:row r="550">
      <x:c r="A550" s="50" t="str">
        <x:v>Virieu-le-Grand – Belley</x:v>
      </x:c>
      <x:c r="B550" s="50" t="str">
        <x:v>Bellegarde-sur-Valserine</x:v>
      </x:c>
      <x:c r="C550" s="51" t="n">
        <x:v>45</x:v>
      </x:c>
      <x:c r="D550" s="50" t="str">
        <x:v>Enfant 4–11 ans</x:v>
      </x:c>
      <x:c r="E550" s="50" t="str">
        <x:v>illico LIBERTÉ — Accompagnant, Week-end / Jour férié</x:v>
      </x:c>
      <x:c r="F550" s="52" t="n">
        <x:v>2.9</x:v>
      </x:c>
      <x:c r="G550" s="52" t="n">
        <x:v>4.4</x:v>
      </x:c>
      <x:c r="H550" s="60" t="n">
        <x:f>G550-F550</x:f>
        <x:v>1.5000000000000004</x:v>
      </x:c>
      <x:c r="I550" s="50" t="str">
        <x:v>child-illico-liberte-weekend-companion</x:v>
      </x:c>
      <x:c r="J550" s="50" t="str">
        <x:v>virieu-le-grand-belley|bellegarde-sur-valserine</x:v>
      </x:c>
    </x:row>
    <x:row r="551">
      <x:c r="A551" s="50" t="str">
        <x:v>Virieu-le-Grand – Belley</x:v>
      </x:c>
      <x:c r="B551" s="50" t="str">
        <x:v>Bellegarde-sur-Valserine</x:v>
      </x:c>
      <x:c r="C551" s="51" t="n">
        <x:v>45</x:v>
      </x:c>
      <x:c r="D551" s="50" t="str">
        <x:v>Enfant 4–11 ans</x:v>
      </x:c>
      <x:c r="E551" s="50" t="str">
        <x:v>Carte Famille Militaire</x:v>
      </x:c>
      <x:c r="F551" s="52" t="n">
        <x:v>3.5</x:v>
      </x:c>
      <x:c r="G551" s="52" t="n">
        <x:v>5.2</x:v>
      </x:c>
      <x:c r="H551" s="60" t="n">
        <x:f>G551-F551</x:f>
        <x:v>1.7000000000000002</x:v>
      </x:c>
      <x:c r="I551" s="50" t="str">
        <x:v>child-family-military</x:v>
      </x:c>
      <x:c r="J551" s="50" t="str">
        <x:v>virieu-le-grand-belley|bellegarde-sur-valserine</x:v>
      </x:c>
    </x:row>
    <x:row r="552">
      <x:c r="A552" s="50" t="str">
        <x:v>Virieu-le-Grand – Belley</x:v>
      </x:c>
      <x:c r="B552" s="50" t="str">
        <x:v>Bellegarde-sur-Valserine</x:v>
      </x:c>
      <x:c r="C552" s="51" t="n">
        <x:v>45</x:v>
      </x:c>
      <x:c r="D552" s="50" t="str">
        <x:v>Enfant 4–11 ans</x:v>
      </x:c>
      <x:c r="E552" s="50" t="str">
        <x:v>Carte Familles Nombreuses (-30 %)</x:v>
      </x:c>
      <x:c r="F552" s="52" t="n">
        <x:v>3.3</x:v>
      </x:c>
      <x:c r="G552" s="52" t="n">
        <x:v>5.6</x:v>
      </x:c>
      <x:c r="H552" s="60" t="n">
        <x:f>G552-F552</x:f>
        <x:v>2.3</x:v>
      </x:c>
      <x:c r="I552" s="50" t="str">
        <x:v>child-famille-nombreuse-30</x:v>
      </x:c>
      <x:c r="J552" s="50" t="str">
        <x:v>virieu-le-grand-belley|bellegarde-sur-valserine</x:v>
      </x:c>
    </x:row>
    <x:row r="553">
      <x:c r="A553" s="50" t="str">
        <x:v>Virieu-le-Grand – Belley</x:v>
      </x:c>
      <x:c r="B553" s="50" t="str">
        <x:v>Bellegarde-sur-Valserine</x:v>
      </x:c>
      <x:c r="C553" s="51" t="n">
        <x:v>45</x:v>
      </x:c>
      <x:c r="D553" s="50" t="str">
        <x:v>Enfant 4–11 ans</x:v>
      </x:c>
      <x:c r="E553" s="50" t="str">
        <x:v>Carte Familles Nombreuses (-40 %)</x:v>
      </x:c>
      <x:c r="F553" s="52" t="n">
        <x:v>2.8</x:v>
      </x:c>
      <x:c r="G553" s="52" t="n">
        <x:v>5.1</x:v>
      </x:c>
      <x:c r="H553" s="60" t="n">
        <x:f>G553-F553</x:f>
        <x:v>2.3</x:v>
      </x:c>
      <x:c r="I553" s="50" t="str">
        <x:v>child-famille-nombreuse-40</x:v>
      </x:c>
      <x:c r="J553" s="50" t="str">
        <x:v>virieu-le-grand-belley|bellegarde-sur-valserine</x:v>
      </x:c>
    </x:row>
    <x:row r="554">
      <x:c r="A554" s="50" t="str">
        <x:v>Virieu-le-Grand – Belley</x:v>
      </x:c>
      <x:c r="B554" s="50" t="str">
        <x:v>Bellegarde-sur-Valserine</x:v>
      </x:c>
      <x:c r="C554" s="51" t="n">
        <x:v>45</x:v>
      </x:c>
      <x:c r="D554" s="50" t="str">
        <x:v>Enfant 4–11 ans</x:v>
      </x:c>
      <x:c r="E554" s="50" t="str">
        <x:v>Carte Familles Nombreuses (-50 %)</x:v>
      </x:c>
      <x:c r="F554" s="52" t="n">
        <x:v>2.4</x:v>
      </x:c>
      <x:c r="G554" s="52" t="n">
        <x:v>4.7</x:v>
      </x:c>
      <x:c r="H554" s="60" t="n">
        <x:f>G554-F554</x:f>
        <x:v>2.3000000000000003</x:v>
      </x:c>
      <x:c r="I554" s="50" t="str">
        <x:v>child-famille-nombreuse-50</x:v>
      </x:c>
      <x:c r="J554" s="50" t="str">
        <x:v>virieu-le-grand-belley|bellegarde-sur-valserine</x:v>
      </x:c>
    </x:row>
    <x:row r="555">
      <x:c r="A555" s="50" t="str">
        <x:v>Virieu-le-Grand – Belley</x:v>
      </x:c>
      <x:c r="B555" s="50" t="str">
        <x:v>Bellegarde-sur-Valserine</x:v>
      </x:c>
      <x:c r="C555" s="51" t="n">
        <x:v>45</x:v>
      </x:c>
      <x:c r="D555" s="50" t="str">
        <x:v>Enfant 4–11 ans</x:v>
      </x:c>
      <x:c r="E555" s="50" t="str">
        <x:v>Carte Familles Nombreuses (-75 %)</x:v>
      </x:c>
      <x:c r="F555" s="52" t="n">
        <x:v>1.2</x:v>
      </x:c>
      <x:c r="G555" s="52" t="n">
        <x:v>3.5</x:v>
      </x:c>
      <x:c r="H555" s="60" t="n">
        <x:f>G555-F555</x:f>
        <x:v>2.3</x:v>
      </x:c>
      <x:c r="I555" s="50" t="str">
        <x:v>child-famille-nombreuse-75</x:v>
      </x:c>
      <x:c r="J555" s="50" t="str">
        <x:v>virieu-le-grand-belley|bellegarde-sur-valserine</x:v>
      </x:c>
    </x:row>
    <x:row r="556">
      <x:c r="A556" s="50" t="str">
        <x:v>Virieu-le-Grand – Belley</x:v>
      </x:c>
      <x:c r="B556" s="50" t="str">
        <x:v>Genève</x:v>
      </x:c>
      <x:c r="C556" s="51" t="n">
        <x:v>87</x:v>
      </x:c>
      <x:c r="D556" s="50" t="str">
        <x:v>Adulte</x:v>
      </x:c>
      <x:c r="E556" s="50" t="str">
        <x:v>Aucune — Plein tarif</x:v>
      </x:c>
      <x:c r="F556" s="52" t="n">
        <x:v>18</x:v>
      </x:c>
      <x:c r="G556" s="52" t="n">
        <x:v>27.3</x:v>
      </x:c>
      <x:c r="H556" s="60" t="n">
        <x:f>G556-F556</x:f>
        <x:v>9.3</x:v>
      </x:c>
      <x:c r="I556" s="50" t="str">
        <x:v>adult-none</x:v>
      </x:c>
      <x:c r="J556" s="50" t="str">
        <x:v>virieu-le-grand-belley|geneve</x:v>
      </x:c>
    </x:row>
    <x:row r="557">
      <x:c r="A557" s="50" t="str">
        <x:v>Virieu-le-Grand – Belley</x:v>
      </x:c>
      <x:c r="B557" s="50" t="str">
        <x:v>Genève</x:v>
      </x:c>
      <x:c r="C557" s="51" t="n">
        <x:v>87</x:v>
      </x:c>
      <x:c r="D557" s="50" t="str">
        <x:v>Adulte</x:v>
      </x:c>
      <x:c r="E557" s="50" t="str">
        <x:v>illico LIBERTÉ — Semaine (-25 %)</x:v>
      </x:c>
      <x:c r="F557" s="52" t="n">
        <x:v>13.5</x:v>
      </x:c>
      <x:c r="G557" s="52" t="n">
        <x:v>20.5</x:v>
      </x:c>
      <x:c r="H557" s="60" t="n">
        <x:f>G557-F557</x:f>
        <x:v>7</x:v>
      </x:c>
      <x:c r="I557" s="50" t="str">
        <x:v>adult-illico-liberte-weekday</x:v>
      </x:c>
      <x:c r="J557" s="50" t="str">
        <x:v>virieu-le-grand-belley|geneve</x:v>
      </x:c>
    </x:row>
    <x:row r="558">
      <x:c r="A558" s="50" t="str">
        <x:v>Virieu-le-Grand – Belley</x:v>
      </x:c>
      <x:c r="B558" s="50" t="str">
        <x:v>Genève</x:v>
      </x:c>
      <x:c r="C558" s="51" t="n">
        <x:v>87</x:v>
      </x:c>
      <x:c r="D558" s="50" t="str">
        <x:v>Adulte</x:v>
      </x:c>
      <x:c r="E558" s="50" t="str">
        <x:v>illico LIBERTÉ — Week-end / Jour férié (-50 %)</x:v>
      </x:c>
      <x:c r="F558" s="52" t="n">
        <x:v>9</x:v>
      </x:c>
      <x:c r="G558" s="52" t="n">
        <x:v>13.7</x:v>
      </x:c>
      <x:c r="H558" s="60" t="n">
        <x:f>G558-F558</x:f>
        <x:v>4.699999999999999</x:v>
      </x:c>
      <x:c r="I558" s="50" t="str">
        <x:v>adult-illico-liberte-weekend</x:v>
      </x:c>
      <x:c r="J558" s="50" t="str">
        <x:v>virieu-le-grand-belley|geneve</x:v>
      </x:c>
    </x:row>
    <x:row r="559">
      <x:c r="A559" s="50" t="str">
        <x:v>Virieu-le-Grand – Belley</x:v>
      </x:c>
      <x:c r="B559" s="50" t="str">
        <x:v>Genève</x:v>
      </x:c>
      <x:c r="C559" s="51" t="n">
        <x:v>87</x:v>
      </x:c>
      <x:c r="D559" s="50" t="str">
        <x:v>Adulte</x:v>
      </x:c>
      <x:c r="E559" s="50" t="str">
        <x:v>illico LIBERTÉ — Accompagnant, Week-end / Jour férié (-50 %)</x:v>
      </x:c>
      <x:c r="F559" s="52" t="n">
        <x:v>9</x:v>
      </x:c>
      <x:c r="G559" s="52" t="n">
        <x:v>13.7</x:v>
      </x:c>
      <x:c r="H559" s="60" t="n">
        <x:f>G559-F559</x:f>
        <x:v>4.699999999999999</x:v>
      </x:c>
      <x:c r="I559" s="50" t="str">
        <x:v>adult-illico-liberte-weekend-companion</x:v>
      </x:c>
      <x:c r="J559" s="50" t="str">
        <x:v>virieu-le-grand-belley|geneve</x:v>
      </x:c>
    </x:row>
    <x:row r="560">
      <x:c r="A560" s="50" t="str">
        <x:v>Virieu-le-Grand – Belley</x:v>
      </x:c>
      <x:c r="B560" s="50" t="str">
        <x:v>Genève</x:v>
      </x:c>
      <x:c r="C560" s="51" t="n">
        <x:v>87</x:v>
      </x:c>
      <x:c r="D560" s="50" t="str">
        <x:v>Adulte</x:v>
      </x:c>
      <x:c r="E560" s="50" t="str">
        <x:v>illico LIBERTÉ JEUNES (-50 %)</x:v>
      </x:c>
      <x:c r="F560" s="52" t="n">
        <x:v>9</x:v>
      </x:c>
      <x:c r="G560" s="52" t="n">
        <x:v>13.7</x:v>
      </x:c>
      <x:c r="H560" s="60" t="n">
        <x:f>G560-F560</x:f>
        <x:v>4.699999999999999</x:v>
      </x:c>
      <x:c r="I560" s="50" t="str">
        <x:v>adult-illico-jeunes</x:v>
      </x:c>
      <x:c r="J560" s="50" t="str">
        <x:v>virieu-le-grand-belley|geneve</x:v>
      </x:c>
    </x:row>
    <x:row r="561">
      <x:c r="A561" s="50" t="str">
        <x:v>Virieu-le-Grand – Belley</x:v>
      </x:c>
      <x:c r="B561" s="50" t="str">
        <x:v>Genève</x:v>
      </x:c>
      <x:c r="C561" s="51" t="n">
        <x:v>87</x:v>
      </x:c>
      <x:c r="D561" s="50" t="str">
        <x:v>Adulte</x:v>
      </x:c>
      <x:c r="E561" s="50" t="str">
        <x:v>Carte Liberté SNCF (-25 %)</x:v>
      </x:c>
      <x:c r="F561" s="52" t="n">
        <x:v>13.5</x:v>
      </x:c>
      <x:c r="G561" s="52" t="n">
        <x:v>20.5</x:v>
      </x:c>
      <x:c r="H561" s="60" t="n">
        <x:f>G561-F561</x:f>
        <x:v>7</x:v>
      </x:c>
      <x:c r="I561" s="50" t="str">
        <x:v>adult-liberte-nationale</x:v>
      </x:c>
      <x:c r="J561" s="50" t="str">
        <x:v>virieu-le-grand-belley|geneve</x:v>
      </x:c>
    </x:row>
    <x:row r="562">
      <x:c r="A562" s="50" t="str">
        <x:v>Virieu-le-Grand – Belley</x:v>
      </x:c>
      <x:c r="B562" s="50" t="str">
        <x:v>Genève</x:v>
      </x:c>
      <x:c r="C562" s="51" t="n">
        <x:v>87</x:v>
      </x:c>
      <x:c r="D562" s="50" t="str">
        <x:v>Adulte</x:v>
      </x:c>
      <x:c r="E562" s="50" t="str">
        <x:v>Carte Familles Nombreuses (-30 %)</x:v>
      </x:c>
      <x:c r="F562" s="52" t="n">
        <x:v>10.2</x:v>
      </x:c>
      <x:c r="G562" s="52" t="n">
        <x:v>17.5</x:v>
      </x:c>
      <x:c r="H562" s="60" t="n">
        <x:f>G562-F562</x:f>
        <x:v>7.300000000000001</x:v>
      </x:c>
      <x:c r="I562" s="50" t="str">
        <x:v>adult-famille-nombreuse-30</x:v>
      </x:c>
      <x:c r="J562" s="50" t="str">
        <x:v>virieu-le-grand-belley|geneve</x:v>
      </x:c>
    </x:row>
    <x:row r="563">
      <x:c r="A563" s="50" t="str">
        <x:v>Virieu-le-Grand – Belley</x:v>
      </x:c>
      <x:c r="B563" s="50" t="str">
        <x:v>Genève</x:v>
      </x:c>
      <x:c r="C563" s="51" t="n">
        <x:v>87</x:v>
      </x:c>
      <x:c r="D563" s="50" t="str">
        <x:v>Adulte</x:v>
      </x:c>
      <x:c r="E563" s="50" t="str">
        <x:v>Carte Familles Nombreuses (-40 %)</x:v>
      </x:c>
      <x:c r="F563" s="52" t="n">
        <x:v>8.7</x:v>
      </x:c>
      <x:c r="G563" s="52" t="n">
        <x:v>16</x:v>
      </x:c>
      <x:c r="H563" s="60" t="n">
        <x:f>G563-F563</x:f>
        <x:v>7.300000000000001</x:v>
      </x:c>
      <x:c r="I563" s="50" t="str">
        <x:v>adult-famille-nombreuse-40</x:v>
      </x:c>
      <x:c r="J563" s="50" t="str">
        <x:v>virieu-le-grand-belley|geneve</x:v>
      </x:c>
    </x:row>
    <x:row r="564">
      <x:c r="A564" s="50" t="str">
        <x:v>Virieu-le-Grand – Belley</x:v>
      </x:c>
      <x:c r="B564" s="50" t="str">
        <x:v>Genève</x:v>
      </x:c>
      <x:c r="C564" s="51" t="n">
        <x:v>87</x:v>
      </x:c>
      <x:c r="D564" s="50" t="str">
        <x:v>Adulte</x:v>
      </x:c>
      <x:c r="E564" s="50" t="str">
        <x:v>Carte Familles Nombreuses (-50 %)</x:v>
      </x:c>
      <x:c r="F564" s="52" t="n">
        <x:v>7.3</x:v>
      </x:c>
      <x:c r="G564" s="52" t="n">
        <x:v>14.6</x:v>
      </x:c>
      <x:c r="H564" s="60" t="n">
        <x:f>G564-F564</x:f>
        <x:v>7.3</x:v>
      </x:c>
      <x:c r="I564" s="50" t="str">
        <x:v>adult-famille-nombreuse-50</x:v>
      </x:c>
      <x:c r="J564" s="50" t="str">
        <x:v>virieu-le-grand-belley|geneve</x:v>
      </x:c>
    </x:row>
    <x:row r="565">
      <x:c r="A565" s="50" t="str">
        <x:v>Virieu-le-Grand – Belley</x:v>
      </x:c>
      <x:c r="B565" s="50" t="str">
        <x:v>Genève</x:v>
      </x:c>
      <x:c r="C565" s="51" t="n">
        <x:v>87</x:v>
      </x:c>
      <x:c r="D565" s="50" t="str">
        <x:v>Adulte</x:v>
      </x:c>
      <x:c r="E565" s="50" t="str">
        <x:v>Carte Familles Nombreuses (-75 %)</x:v>
      </x:c>
      <x:c r="F565" s="52" t="n">
        <x:v>3.7</x:v>
      </x:c>
      <x:c r="G565" s="52" t="n">
        <x:v>11</x:v>
      </x:c>
      <x:c r="H565" s="60" t="n">
        <x:f>G565-F565</x:f>
        <x:v>7.3</x:v>
      </x:c>
      <x:c r="I565" s="50" t="str">
        <x:v>adult-famille-nombreuse-75</x:v>
      </x:c>
      <x:c r="J565" s="50" t="str">
        <x:v>virieu-le-grand-belley|geneve</x:v>
      </x:c>
    </x:row>
    <x:row r="566">
      <x:c r="A566" s="50" t="str">
        <x:v>Virieu-le-Grand – Belley</x:v>
      </x:c>
      <x:c r="B566" s="50" t="str">
        <x:v>Genève</x:v>
      </x:c>
      <x:c r="C566" s="51" t="n">
        <x:v>87</x:v>
      </x:c>
      <x:c r="D566" s="50" t="str">
        <x:v>Adulte</x:v>
      </x:c>
      <x:c r="E566" s="50" t="str">
        <x:v>Carte Militaire (-75 %)</x:v>
      </x:c>
      <x:c r="F566" s="52" t="n">
        <x:v>3.7</x:v>
      </x:c>
      <x:c r="G566" s="52" t="n">
        <x:v>11</x:v>
      </x:c>
      <x:c r="H566" s="60" t="n">
        <x:f>G566-F566</x:f>
        <x:v>7.3</x:v>
      </x:c>
      <x:c r="I566" s="50" t="str">
        <x:v>adult-military</x:v>
      </x:c>
      <x:c r="J566" s="50" t="str">
        <x:v>virieu-le-grand-belley|geneve</x:v>
      </x:c>
    </x:row>
    <x:row r="567">
      <x:c r="A567" s="50" t="str">
        <x:v>Virieu-le-Grand – Belley</x:v>
      </x:c>
      <x:c r="B567" s="50" t="str">
        <x:v>Genève</x:v>
      </x:c>
      <x:c r="C567" s="51" t="n">
        <x:v>87</x:v>
      </x:c>
      <x:c r="D567" s="50" t="str">
        <x:v>Adulte</x:v>
      </x:c>
      <x:c r="E567" s="50" t="str">
        <x:v>Carte Famille Militaire (-40 %)</x:v>
      </x:c>
      <x:c r="F567" s="52" t="n">
        <x:v>10.8</x:v>
      </x:c>
      <x:c r="G567" s="52" t="n">
        <x:v>16.4</x:v>
      </x:c>
      <x:c r="H567" s="60" t="n">
        <x:f>G567-F567</x:f>
        <x:v>5.599999999999998</x:v>
      </x:c>
      <x:c r="I567" s="50" t="str">
        <x:v>adult-family-military</x:v>
      </x:c>
      <x:c r="J567" s="50" t="str">
        <x:v>virieu-le-grand-belley|geneve</x:v>
      </x:c>
    </x:row>
    <x:row r="568">
      <x:c r="A568" s="50" t="str">
        <x:v>Virieu-le-Grand – Belley</x:v>
      </x:c>
      <x:c r="B568" s="50" t="str">
        <x:v>Genève</x:v>
      </x:c>
      <x:c r="C568" s="51" t="n">
        <x:v>87</x:v>
      </x:c>
      <x:c r="D568" s="50" t="str">
        <x:v>Enfant 4–11 ans</x:v>
      </x:c>
      <x:c r="E568" s="50" t="str">
        <x:v>Aucune — Tarif Enfant 4–11 ans</x:v>
      </x:c>
      <x:c r="F568" s="52" t="n">
        <x:v>9</x:v>
      </x:c>
      <x:c r="G568" s="52" t="n">
        <x:v>13.7</x:v>
      </x:c>
      <x:c r="H568" s="60" t="n">
        <x:f>G568-F568</x:f>
        <x:v>4.699999999999999</x:v>
      </x:c>
      <x:c r="I568" s="50" t="str">
        <x:v>child-none</x:v>
      </x:c>
      <x:c r="J568" s="50" t="str">
        <x:v>virieu-le-grand-belley|geneve</x:v>
      </x:c>
    </x:row>
    <x:row r="569">
      <x:c r="A569" s="50" t="str">
        <x:v>Virieu-le-Grand – Belley</x:v>
      </x:c>
      <x:c r="B569" s="50" t="str">
        <x:v>Genève</x:v>
      </x:c>
      <x:c r="C569" s="51" t="n">
        <x:v>87</x:v>
      </x:c>
      <x:c r="D569" s="50" t="str">
        <x:v>Enfant 4–11 ans</x:v>
      </x:c>
      <x:c r="E569" s="50" t="str">
        <x:v>illico LIBERTÉ — Accompagnant, Week-end / Jour férié</x:v>
      </x:c>
      <x:c r="F569" s="52" t="n">
        <x:v>4.5</x:v>
      </x:c>
      <x:c r="G569" s="52" t="n">
        <x:v>6.9</x:v>
      </x:c>
      <x:c r="H569" s="60" t="n">
        <x:f>G569-F569</x:f>
        <x:v>2.4000000000000004</x:v>
      </x:c>
      <x:c r="I569" s="50" t="str">
        <x:v>child-illico-liberte-weekend-companion</x:v>
      </x:c>
      <x:c r="J569" s="50" t="str">
        <x:v>virieu-le-grand-belley|geneve</x:v>
      </x:c>
    </x:row>
    <x:row r="570">
      <x:c r="A570" s="50" t="str">
        <x:v>Virieu-le-Grand – Belley</x:v>
      </x:c>
      <x:c r="B570" s="50" t="str">
        <x:v>Genève</x:v>
      </x:c>
      <x:c r="C570" s="51" t="n">
        <x:v>87</x:v>
      </x:c>
      <x:c r="D570" s="50" t="str">
        <x:v>Enfant 4–11 ans</x:v>
      </x:c>
      <x:c r="E570" s="50" t="str">
        <x:v>Carte Famille Militaire</x:v>
      </x:c>
      <x:c r="F570" s="52" t="n">
        <x:v>5.4</x:v>
      </x:c>
      <x:c r="G570" s="52" t="n">
        <x:v>8.2</x:v>
      </x:c>
      <x:c r="H570" s="60" t="n">
        <x:f>G570-F570</x:f>
        <x:v>2.799999999999999</x:v>
      </x:c>
      <x:c r="I570" s="50" t="str">
        <x:v>child-family-military</x:v>
      </x:c>
      <x:c r="J570" s="50" t="str">
        <x:v>virieu-le-grand-belley|geneve</x:v>
      </x:c>
    </x:row>
    <x:row r="571">
      <x:c r="A571" s="50" t="str">
        <x:v>Virieu-le-Grand – Belley</x:v>
      </x:c>
      <x:c r="B571" s="50" t="str">
        <x:v>Genève</x:v>
      </x:c>
      <x:c r="C571" s="51" t="n">
        <x:v>87</x:v>
      </x:c>
      <x:c r="D571" s="50" t="str">
        <x:v>Enfant 4–11 ans</x:v>
      </x:c>
      <x:c r="E571" s="50" t="str">
        <x:v>Carte Familles Nombreuses (-30 %)</x:v>
      </x:c>
      <x:c r="F571" s="52" t="n">
        <x:v>5.1</x:v>
      </x:c>
      <x:c r="G571" s="52" t="n">
        <x:v>8.8</x:v>
      </x:c>
      <x:c r="H571" s="60" t="n">
        <x:f>G571-F571</x:f>
        <x:v>3.700000000000001</x:v>
      </x:c>
      <x:c r="I571" s="50" t="str">
        <x:v>child-famille-nombreuse-30</x:v>
      </x:c>
      <x:c r="J571" s="50" t="str">
        <x:v>virieu-le-grand-belley|geneve</x:v>
      </x:c>
    </x:row>
    <x:row r="572">
      <x:c r="A572" s="50" t="str">
        <x:v>Virieu-le-Grand – Belley</x:v>
      </x:c>
      <x:c r="B572" s="50" t="str">
        <x:v>Genève</x:v>
      </x:c>
      <x:c r="C572" s="51" t="n">
        <x:v>87</x:v>
      </x:c>
      <x:c r="D572" s="50" t="str">
        <x:v>Enfant 4–11 ans</x:v>
      </x:c>
      <x:c r="E572" s="50" t="str">
        <x:v>Carte Familles Nombreuses (-40 %)</x:v>
      </x:c>
      <x:c r="F572" s="52" t="n">
        <x:v>4.4</x:v>
      </x:c>
      <x:c r="G572" s="52" t="n">
        <x:v>8</x:v>
      </x:c>
      <x:c r="H572" s="60" t="n">
        <x:f>G572-F572</x:f>
        <x:v>3.5999999999999996</x:v>
      </x:c>
      <x:c r="I572" s="50" t="str">
        <x:v>child-famille-nombreuse-40</x:v>
      </x:c>
      <x:c r="J572" s="50" t="str">
        <x:v>virieu-le-grand-belley|geneve</x:v>
      </x:c>
    </x:row>
    <x:row r="573">
      <x:c r="A573" s="50" t="str">
        <x:v>Virieu-le-Grand – Belley</x:v>
      </x:c>
      <x:c r="B573" s="50" t="str">
        <x:v>Genève</x:v>
      </x:c>
      <x:c r="C573" s="51" t="n">
        <x:v>87</x:v>
      </x:c>
      <x:c r="D573" s="50" t="str">
        <x:v>Enfant 4–11 ans</x:v>
      </x:c>
      <x:c r="E573" s="50" t="str">
        <x:v>Carte Familles Nombreuses (-50 %)</x:v>
      </x:c>
      <x:c r="F573" s="52" t="n">
        <x:v>3.7</x:v>
      </x:c>
      <x:c r="G573" s="52" t="n">
        <x:v>7.3</x:v>
      </x:c>
      <x:c r="H573" s="60" t="n">
        <x:f>G573-F573</x:f>
        <x:v>3.5999999999999996</x:v>
      </x:c>
      <x:c r="I573" s="50" t="str">
        <x:v>child-famille-nombreuse-50</x:v>
      </x:c>
      <x:c r="J573" s="50" t="str">
        <x:v>virieu-le-grand-belley|geneve</x:v>
      </x:c>
    </x:row>
    <x:row r="574">
      <x:c r="A574" s="50" t="str">
        <x:v>Virieu-le-Grand – Belley</x:v>
      </x:c>
      <x:c r="B574" s="50" t="str">
        <x:v>Genève</x:v>
      </x:c>
      <x:c r="C574" s="51" t="n">
        <x:v>87</x:v>
      </x:c>
      <x:c r="D574" s="50" t="str">
        <x:v>Enfant 4–11 ans</x:v>
      </x:c>
      <x:c r="E574" s="50" t="str">
        <x:v>Carte Familles Nombreuses (-75 %)</x:v>
      </x:c>
      <x:c r="F574" s="52" t="n">
        <x:v>1.9</x:v>
      </x:c>
      <x:c r="G574" s="52" t="n">
        <x:v>5.5</x:v>
      </x:c>
      <x:c r="H574" s="60" t="n">
        <x:f>G574-F574</x:f>
        <x:v>3.6</x:v>
      </x:c>
      <x:c r="I574" s="50" t="str">
        <x:v>child-famille-nombreuse-75</x:v>
      </x:c>
      <x:c r="J574" s="50" t="str">
        <x:v>virieu-le-grand-belley|geneve</x:v>
      </x:c>
    </x:row>
    <x:row r="575">
      <x:c r="A575" s="50" t="str">
        <x:v>Culoz</x:v>
      </x:c>
      <x:c r="B575" s="50" t="str">
        <x:v>Seyssel – Corbonod</x:v>
      </x:c>
      <x:c r="C575" s="51" t="n">
        <x:v>15</x:v>
      </x:c>
      <x:c r="D575" s="50" t="str">
        <x:v>Adulte</x:v>
      </x:c>
      <x:c r="E575" s="50" t="str">
        <x:v>Aucune — Plein tarif</x:v>
      </x:c>
      <x:c r="F575" s="52" t="n">
        <x:v>4.6</x:v>
      </x:c>
      <x:c r="G575" s="52" t="n">
        <x:v>6.9</x:v>
      </x:c>
      <x:c r="H575" s="60" t="n">
        <x:f>G575-F575</x:f>
        <x:v>2.3000000000000007</x:v>
      </x:c>
      <x:c r="I575" s="50" t="str">
        <x:v>adult-none</x:v>
      </x:c>
      <x:c r="J575" s="50" t="str">
        <x:v>culoz|seyssel-corbonod</x:v>
      </x:c>
    </x:row>
    <x:row r="576">
      <x:c r="A576" s="50" t="str">
        <x:v>Culoz</x:v>
      </x:c>
      <x:c r="B576" s="50" t="str">
        <x:v>Seyssel – Corbonod</x:v>
      </x:c>
      <x:c r="C576" s="51" t="n">
        <x:v>15</x:v>
      </x:c>
      <x:c r="D576" s="50" t="str">
        <x:v>Adulte</x:v>
      </x:c>
      <x:c r="E576" s="50" t="str">
        <x:v>illico LIBERTÉ — Semaine (-25 %)</x:v>
      </x:c>
      <x:c r="F576" s="52" t="n">
        <x:v>3.5</x:v>
      </x:c>
      <x:c r="G576" s="52" t="n">
        <x:v>5.2</x:v>
      </x:c>
      <x:c r="H576" s="60" t="n">
        <x:f>G576-F576</x:f>
        <x:v>1.7000000000000002</x:v>
      </x:c>
      <x:c r="I576" s="50" t="str">
        <x:v>adult-illico-liberte-weekday</x:v>
      </x:c>
      <x:c r="J576" s="50" t="str">
        <x:v>culoz|seyssel-corbonod</x:v>
      </x:c>
    </x:row>
    <x:row r="577">
      <x:c r="A577" s="50" t="str">
        <x:v>Culoz</x:v>
      </x:c>
      <x:c r="B577" s="50" t="str">
        <x:v>Seyssel – Corbonod</x:v>
      </x:c>
      <x:c r="C577" s="51" t="n">
        <x:v>15</x:v>
      </x:c>
      <x:c r="D577" s="50" t="str">
        <x:v>Adulte</x:v>
      </x:c>
      <x:c r="E577" s="50" t="str">
        <x:v>illico LIBERTÉ — Week-end / Jour férié (-50 %)</x:v>
      </x:c>
      <x:c r="F577" s="52" t="n">
        <x:v>2.3</x:v>
      </x:c>
      <x:c r="G577" s="52" t="n">
        <x:v>3.5</x:v>
      </x:c>
      <x:c r="H577" s="60" t="n">
        <x:f>G577-F577</x:f>
        <x:v>1.2000000000000002</x:v>
      </x:c>
      <x:c r="I577" s="50" t="str">
        <x:v>adult-illico-liberte-weekend</x:v>
      </x:c>
      <x:c r="J577" s="50" t="str">
        <x:v>culoz|seyssel-corbonod</x:v>
      </x:c>
    </x:row>
    <x:row r="578">
      <x:c r="A578" s="50" t="str">
        <x:v>Culoz</x:v>
      </x:c>
      <x:c r="B578" s="50" t="str">
        <x:v>Seyssel – Corbonod</x:v>
      </x:c>
      <x:c r="C578" s="51" t="n">
        <x:v>15</x:v>
      </x:c>
      <x:c r="D578" s="50" t="str">
        <x:v>Adulte</x:v>
      </x:c>
      <x:c r="E578" s="50" t="str">
        <x:v>illico LIBERTÉ — Accompagnant, Week-end / Jour férié (-50 %)</x:v>
      </x:c>
      <x:c r="F578" s="52" t="n">
        <x:v>2.3</x:v>
      </x:c>
      <x:c r="G578" s="52" t="n">
        <x:v>3.5</x:v>
      </x:c>
      <x:c r="H578" s="60" t="n">
        <x:f>G578-F578</x:f>
        <x:v>1.2000000000000002</x:v>
      </x:c>
      <x:c r="I578" s="50" t="str">
        <x:v>adult-illico-liberte-weekend-companion</x:v>
      </x:c>
      <x:c r="J578" s="50" t="str">
        <x:v>culoz|seyssel-corbonod</x:v>
      </x:c>
    </x:row>
    <x:row r="579">
      <x:c r="A579" s="50" t="str">
        <x:v>Culoz</x:v>
      </x:c>
      <x:c r="B579" s="50" t="str">
        <x:v>Seyssel – Corbonod</x:v>
      </x:c>
      <x:c r="C579" s="51" t="n">
        <x:v>15</x:v>
      </x:c>
      <x:c r="D579" s="50" t="str">
        <x:v>Adulte</x:v>
      </x:c>
      <x:c r="E579" s="50" t="str">
        <x:v>illico LIBERTÉ JEUNES (-50 %)</x:v>
      </x:c>
      <x:c r="F579" s="52" t="n">
        <x:v>2.3</x:v>
      </x:c>
      <x:c r="G579" s="52" t="n">
        <x:v>3.5</x:v>
      </x:c>
      <x:c r="H579" s="60" t="n">
        <x:f>G579-F579</x:f>
        <x:v>1.2000000000000002</x:v>
      </x:c>
      <x:c r="I579" s="50" t="str">
        <x:v>adult-illico-jeunes</x:v>
      </x:c>
      <x:c r="J579" s="50" t="str">
        <x:v>culoz|seyssel-corbonod</x:v>
      </x:c>
    </x:row>
    <x:row r="580">
      <x:c r="A580" s="50" t="str">
        <x:v>Culoz</x:v>
      </x:c>
      <x:c r="B580" s="50" t="str">
        <x:v>Seyssel – Corbonod</x:v>
      </x:c>
      <x:c r="C580" s="51" t="n">
        <x:v>15</x:v>
      </x:c>
      <x:c r="D580" s="50" t="str">
        <x:v>Adulte</x:v>
      </x:c>
      <x:c r="E580" s="50" t="str">
        <x:v>Carte Liberté SNCF (-25 %)</x:v>
      </x:c>
      <x:c r="F580" s="52" t="n">
        <x:v>3.5</x:v>
      </x:c>
      <x:c r="G580" s="52" t="n">
        <x:v>5.2</x:v>
      </x:c>
      <x:c r="H580" s="60" t="n">
        <x:f>G580-F580</x:f>
        <x:v>1.7000000000000002</x:v>
      </x:c>
      <x:c r="I580" s="50" t="str">
        <x:v>adult-liberte-nationale</x:v>
      </x:c>
      <x:c r="J580" s="50" t="str">
        <x:v>culoz|seyssel-corbonod</x:v>
      </x:c>
    </x:row>
    <x:row r="581">
      <x:c r="A581" s="50" t="str">
        <x:v>Culoz</x:v>
      </x:c>
      <x:c r="B581" s="50" t="str">
        <x:v>Seyssel – Corbonod</x:v>
      </x:c>
      <x:c r="C581" s="51" t="n">
        <x:v>15</x:v>
      </x:c>
      <x:c r="D581" s="50" t="str">
        <x:v>Adulte</x:v>
      </x:c>
      <x:c r="E581" s="50" t="str">
        <x:v>Carte Familles Nombreuses (-30 %)</x:v>
      </x:c>
      <x:c r="F581" s="52" t="n">
        <x:v>2.6</x:v>
      </x:c>
      <x:c r="G581" s="52" t="n">
        <x:v>4.5</x:v>
      </x:c>
      <x:c r="H581" s="60" t="n">
        <x:f>G581-F581</x:f>
        <x:v>1.9</x:v>
      </x:c>
      <x:c r="I581" s="50" t="str">
        <x:v>adult-famille-nombreuse-30</x:v>
      </x:c>
      <x:c r="J581" s="50" t="str">
        <x:v>culoz|seyssel-corbonod</x:v>
      </x:c>
    </x:row>
    <x:row r="582">
      <x:c r="A582" s="50" t="str">
        <x:v>Culoz</x:v>
      </x:c>
      <x:c r="B582" s="50" t="str">
        <x:v>Seyssel – Corbonod</x:v>
      </x:c>
      <x:c r="C582" s="51" t="n">
        <x:v>15</x:v>
      </x:c>
      <x:c r="D582" s="50" t="str">
        <x:v>Adulte</x:v>
      </x:c>
      <x:c r="E582" s="50" t="str">
        <x:v>Carte Familles Nombreuses (-40 %)</x:v>
      </x:c>
      <x:c r="F582" s="52" t="n">
        <x:v>2.3</x:v>
      </x:c>
      <x:c r="G582" s="52" t="n">
        <x:v>4.2</x:v>
      </x:c>
      <x:c r="H582" s="60" t="n">
        <x:f>G582-F582</x:f>
        <x:v>1.9000000000000004</x:v>
      </x:c>
      <x:c r="I582" s="50" t="str">
        <x:v>adult-famille-nombreuse-40</x:v>
      </x:c>
      <x:c r="J582" s="50" t="str">
        <x:v>culoz|seyssel-corbonod</x:v>
      </x:c>
    </x:row>
    <x:row r="583">
      <x:c r="A583" s="50" t="str">
        <x:v>Culoz</x:v>
      </x:c>
      <x:c r="B583" s="50" t="str">
        <x:v>Seyssel – Corbonod</x:v>
      </x:c>
      <x:c r="C583" s="51" t="n">
        <x:v>15</x:v>
      </x:c>
      <x:c r="D583" s="50" t="str">
        <x:v>Adulte</x:v>
      </x:c>
      <x:c r="E583" s="50" t="str">
        <x:v>Carte Familles Nombreuses (-50 %)</x:v>
      </x:c>
      <x:c r="F583" s="52" t="n">
        <x:v>1.9</x:v>
      </x:c>
      <x:c r="G583" s="52" t="n">
        <x:v>3.8</x:v>
      </x:c>
      <x:c r="H583" s="60" t="n">
        <x:f>G583-F583</x:f>
        <x:v>1.9</x:v>
      </x:c>
      <x:c r="I583" s="50" t="str">
        <x:v>adult-famille-nombreuse-50</x:v>
      </x:c>
      <x:c r="J583" s="50" t="str">
        <x:v>culoz|seyssel-corbonod</x:v>
      </x:c>
    </x:row>
    <x:row r="584">
      <x:c r="A584" s="50" t="str">
        <x:v>Culoz</x:v>
      </x:c>
      <x:c r="B584" s="50" t="str">
        <x:v>Seyssel – Corbonod</x:v>
      </x:c>
      <x:c r="C584" s="51" t="n">
        <x:v>15</x:v>
      </x:c>
      <x:c r="D584" s="50" t="str">
        <x:v>Adulte</x:v>
      </x:c>
      <x:c r="E584" s="50" t="str">
        <x:v>Carte Familles Nombreuses (-75 %)</x:v>
      </x:c>
      <x:c r="F584" s="52" t="n">
        <x:v>1.2</x:v>
      </x:c>
      <x:c r="G584" s="52" t="n">
        <x:v>2.9</x:v>
      </x:c>
      <x:c r="H584" s="60" t="n">
        <x:f>G584-F584</x:f>
        <x:v>1.7</x:v>
      </x:c>
      <x:c r="I584" s="50" t="str">
        <x:v>adult-famille-nombreuse-75</x:v>
      </x:c>
      <x:c r="J584" s="50" t="str">
        <x:v>culoz|seyssel-corbonod</x:v>
      </x:c>
    </x:row>
    <x:row r="585">
      <x:c r="A585" s="50" t="str">
        <x:v>Culoz</x:v>
      </x:c>
      <x:c r="B585" s="50" t="str">
        <x:v>Seyssel – Corbonod</x:v>
      </x:c>
      <x:c r="C585" s="51" t="n">
        <x:v>15</x:v>
      </x:c>
      <x:c r="D585" s="50" t="str">
        <x:v>Adulte</x:v>
      </x:c>
      <x:c r="E585" s="50" t="str">
        <x:v>Carte Militaire (-75 %)</x:v>
      </x:c>
      <x:c r="F585" s="52" t="n">
        <x:v>1.2</x:v>
      </x:c>
      <x:c r="G585" s="52" t="n">
        <x:v>2.9</x:v>
      </x:c>
      <x:c r="H585" s="60" t="n">
        <x:f>G585-F585</x:f>
        <x:v>1.7</x:v>
      </x:c>
      <x:c r="I585" s="50" t="str">
        <x:v>adult-military</x:v>
      </x:c>
      <x:c r="J585" s="50" t="str">
        <x:v>culoz|seyssel-corbonod</x:v>
      </x:c>
    </x:row>
    <x:row r="586">
      <x:c r="A586" s="50" t="str">
        <x:v>Culoz</x:v>
      </x:c>
      <x:c r="B586" s="50" t="str">
        <x:v>Seyssel – Corbonod</x:v>
      </x:c>
      <x:c r="C586" s="51" t="n">
        <x:v>15</x:v>
      </x:c>
      <x:c r="D586" s="50" t="str">
        <x:v>Adulte</x:v>
      </x:c>
      <x:c r="E586" s="50" t="str">
        <x:v>Carte Famille Militaire (-40 %)</x:v>
      </x:c>
      <x:c r="F586" s="52" t="n">
        <x:v>2.8</x:v>
      </x:c>
      <x:c r="G586" s="52" t="n">
        <x:v>4.2</x:v>
      </x:c>
      <x:c r="H586" s="60" t="n">
        <x:f>G586-F586</x:f>
        <x:v>1.4000000000000004</x:v>
      </x:c>
      <x:c r="I586" s="50" t="str">
        <x:v>adult-family-military</x:v>
      </x:c>
      <x:c r="J586" s="50" t="str">
        <x:v>culoz|seyssel-corbonod</x:v>
      </x:c>
    </x:row>
    <x:row r="587">
      <x:c r="A587" s="50" t="str">
        <x:v>Culoz</x:v>
      </x:c>
      <x:c r="B587" s="50" t="str">
        <x:v>Seyssel – Corbonod</x:v>
      </x:c>
      <x:c r="C587" s="51" t="n">
        <x:v>15</x:v>
      </x:c>
      <x:c r="D587" s="50" t="str">
        <x:v>Enfant 4–11 ans</x:v>
      </x:c>
      <x:c r="E587" s="50" t="str">
        <x:v>Aucune — Tarif Enfant 4–11 ans</x:v>
      </x:c>
      <x:c r="F587" s="52" t="n">
        <x:v>2.3</x:v>
      </x:c>
      <x:c r="G587" s="52" t="n">
        <x:v>3.5</x:v>
      </x:c>
      <x:c r="H587" s="60" t="n">
        <x:f>G587-F587</x:f>
        <x:v>1.2000000000000002</x:v>
      </x:c>
      <x:c r="I587" s="50" t="str">
        <x:v>child-none</x:v>
      </x:c>
      <x:c r="J587" s="50" t="str">
        <x:v>culoz|seyssel-corbonod</x:v>
      </x:c>
    </x:row>
    <x:row r="588">
      <x:c r="A588" s="50" t="str">
        <x:v>Culoz</x:v>
      </x:c>
      <x:c r="B588" s="50" t="str">
        <x:v>Seyssel – Corbonod</x:v>
      </x:c>
      <x:c r="C588" s="51" t="n">
        <x:v>15</x:v>
      </x:c>
      <x:c r="D588" s="50" t="str">
        <x:v>Enfant 4–11 ans</x:v>
      </x:c>
      <x:c r="E588" s="50" t="str">
        <x:v>illico LIBERTÉ — Accompagnant, Week-end / Jour férié</x:v>
      </x:c>
      <x:c r="F588" s="52" t="n">
        <x:v>1.2</x:v>
      </x:c>
      <x:c r="G588" s="52" t="n">
        <x:v>1.8</x:v>
      </x:c>
      <x:c r="H588" s="60" t="n">
        <x:f>G588-F588</x:f>
        <x:v>0.6000000000000001</x:v>
      </x:c>
      <x:c r="I588" s="50" t="str">
        <x:v>child-illico-liberte-weekend-companion</x:v>
      </x:c>
      <x:c r="J588" s="50" t="str">
        <x:v>culoz|seyssel-corbonod</x:v>
      </x:c>
    </x:row>
    <x:row r="589">
      <x:c r="A589" s="50" t="str">
        <x:v>Culoz</x:v>
      </x:c>
      <x:c r="B589" s="50" t="str">
        <x:v>Seyssel – Corbonod</x:v>
      </x:c>
      <x:c r="C589" s="51" t="n">
        <x:v>15</x:v>
      </x:c>
      <x:c r="D589" s="50" t="str">
        <x:v>Enfant 4–11 ans</x:v>
      </x:c>
      <x:c r="E589" s="50" t="str">
        <x:v>Carte Famille Militaire</x:v>
      </x:c>
      <x:c r="F589" s="52" t="n">
        <x:v>1.4</x:v>
      </x:c>
      <x:c r="G589" s="52" t="n">
        <x:v>2.1</x:v>
      </x:c>
      <x:c r="H589" s="60" t="n">
        <x:f>G589-F589</x:f>
        <x:v>0.7000000000000002</x:v>
      </x:c>
      <x:c r="I589" s="50" t="str">
        <x:v>child-family-military</x:v>
      </x:c>
      <x:c r="J589" s="50" t="str">
        <x:v>culoz|seyssel-corbonod</x:v>
      </x:c>
    </x:row>
    <x:row r="590">
      <x:c r="A590" s="50" t="str">
        <x:v>Culoz</x:v>
      </x:c>
      <x:c r="B590" s="50" t="str">
        <x:v>Seyssel – Corbonod</x:v>
      </x:c>
      <x:c r="C590" s="51" t="n">
        <x:v>15</x:v>
      </x:c>
      <x:c r="D590" s="50" t="str">
        <x:v>Enfant 4–11 ans</x:v>
      </x:c>
      <x:c r="E590" s="50" t="str">
        <x:v>Carte Familles Nombreuses (-30 %)</x:v>
      </x:c>
      <x:c r="F590" s="52" t="n">
        <x:v>1.3</x:v>
      </x:c>
      <x:c r="G590" s="52" t="n">
        <x:v>2.3</x:v>
      </x:c>
      <x:c r="H590" s="60" t="n">
        <x:f>G590-F590</x:f>
        <x:v>0.9999999999999998</x:v>
      </x:c>
      <x:c r="I590" s="50" t="str">
        <x:v>child-famille-nombreuse-30</x:v>
      </x:c>
      <x:c r="J590" s="50" t="str">
        <x:v>culoz|seyssel-corbonod</x:v>
      </x:c>
    </x:row>
    <x:row r="591">
      <x:c r="A591" s="50" t="str">
        <x:v>Culoz</x:v>
      </x:c>
      <x:c r="B591" s="50" t="str">
        <x:v>Seyssel – Corbonod</x:v>
      </x:c>
      <x:c r="C591" s="51" t="n">
        <x:v>15</x:v>
      </x:c>
      <x:c r="D591" s="50" t="str">
        <x:v>Enfant 4–11 ans</x:v>
      </x:c>
      <x:c r="E591" s="50" t="str">
        <x:v>Carte Familles Nombreuses (-40 %)</x:v>
      </x:c>
      <x:c r="F591" s="52" t="n">
        <x:v>1.2</x:v>
      </x:c>
      <x:c r="G591" s="52" t="n">
        <x:v>2.1</x:v>
      </x:c>
      <x:c r="H591" s="60" t="n">
        <x:f>G591-F591</x:f>
        <x:v>0.9000000000000001</x:v>
      </x:c>
      <x:c r="I591" s="50" t="str">
        <x:v>child-famille-nombreuse-40</x:v>
      </x:c>
      <x:c r="J591" s="50" t="str">
        <x:v>culoz|seyssel-corbonod</x:v>
      </x:c>
    </x:row>
    <x:row r="592">
      <x:c r="A592" s="50" t="str">
        <x:v>Culoz</x:v>
      </x:c>
      <x:c r="B592" s="50" t="str">
        <x:v>Seyssel – Corbonod</x:v>
      </x:c>
      <x:c r="C592" s="51" t="n">
        <x:v>15</x:v>
      </x:c>
      <x:c r="D592" s="50" t="str">
        <x:v>Enfant 4–11 ans</x:v>
      </x:c>
      <x:c r="E592" s="50" t="str">
        <x:v>Carte Familles Nombreuses (-50 %)</x:v>
      </x:c>
      <x:c r="F592" s="52" t="n">
        <x:v>1.2</x:v>
      </x:c>
      <x:c r="G592" s="52" t="n">
        <x:v>1.9</x:v>
      </x:c>
      <x:c r="H592" s="60" t="n">
        <x:f>G592-F592</x:f>
        <x:v>0.7</x:v>
      </x:c>
      <x:c r="I592" s="50" t="str">
        <x:v>child-famille-nombreuse-50</x:v>
      </x:c>
      <x:c r="J592" s="50" t="str">
        <x:v>culoz|seyssel-corbonod</x:v>
      </x:c>
    </x:row>
    <x:row r="593">
      <x:c r="A593" s="50" t="str">
        <x:v>Culoz</x:v>
      </x:c>
      <x:c r="B593" s="50" t="str">
        <x:v>Seyssel – Corbonod</x:v>
      </x:c>
      <x:c r="C593" s="51" t="n">
        <x:v>15</x:v>
      </x:c>
      <x:c r="D593" s="50" t="str">
        <x:v>Enfant 4–11 ans</x:v>
      </x:c>
      <x:c r="E593" s="50" t="str">
        <x:v>Carte Familles Nombreuses (-75 %)</x:v>
      </x:c>
      <x:c r="F593" s="52" t="n">
        <x:v>1.2</x:v>
      </x:c>
      <x:c r="G593" s="52" t="n">
        <x:v>1.5</x:v>
      </x:c>
      <x:c r="H593" s="60" t="n">
        <x:f>G593-F593</x:f>
        <x:v>0.30000000000000004</x:v>
      </x:c>
      <x:c r="I593" s="50" t="str">
        <x:v>child-famille-nombreuse-75</x:v>
      </x:c>
      <x:c r="J593" s="50" t="str">
        <x:v>culoz|seyssel-corbonod</x:v>
      </x:c>
    </x:row>
    <x:row r="594">
      <x:c r="A594" s="50" t="str">
        <x:v>Culoz</x:v>
      </x:c>
      <x:c r="B594" s="50" t="str">
        <x:v>Bellegarde-sur-Valserine</x:v>
      </x:c>
      <x:c r="C594" s="51" t="n">
        <x:v>34</x:v>
      </x:c>
      <x:c r="D594" s="50" t="str">
        <x:v>Adulte</x:v>
      </x:c>
      <x:c r="E594" s="50" t="str">
        <x:v>Aucune — Plein tarif</x:v>
      </x:c>
      <x:c r="F594" s="52" t="n">
        <x:v>9</x:v>
      </x:c>
      <x:c r="G594" s="52" t="n">
        <x:v>13.7</x:v>
      </x:c>
      <x:c r="H594" s="60" t="n">
        <x:f>G594-F594</x:f>
        <x:v>4.699999999999999</x:v>
      </x:c>
      <x:c r="I594" s="50" t="str">
        <x:v>adult-none</x:v>
      </x:c>
      <x:c r="J594" s="50" t="str">
        <x:v>culoz|bellegarde-sur-valserine</x:v>
      </x:c>
    </x:row>
    <x:row r="595">
      <x:c r="A595" s="50" t="str">
        <x:v>Culoz</x:v>
      </x:c>
      <x:c r="B595" s="50" t="str">
        <x:v>Bellegarde-sur-Valserine</x:v>
      </x:c>
      <x:c r="C595" s="51" t="n">
        <x:v>34</x:v>
      </x:c>
      <x:c r="D595" s="50" t="str">
        <x:v>Adulte</x:v>
      </x:c>
      <x:c r="E595" s="50" t="str">
        <x:v>illico LIBERTÉ — Semaine (-25 %)</x:v>
      </x:c>
      <x:c r="F595" s="52" t="n">
        <x:v>6.8</x:v>
      </x:c>
      <x:c r="G595" s="52" t="n">
        <x:v>10.3</x:v>
      </x:c>
      <x:c r="H595" s="60" t="n">
        <x:f>G595-F595</x:f>
        <x:v>3.500000000000001</x:v>
      </x:c>
      <x:c r="I595" s="50" t="str">
        <x:v>adult-illico-liberte-weekday</x:v>
      </x:c>
      <x:c r="J595" s="50" t="str">
        <x:v>culoz|bellegarde-sur-valserine</x:v>
      </x:c>
    </x:row>
    <x:row r="596">
      <x:c r="A596" s="50" t="str">
        <x:v>Culoz</x:v>
      </x:c>
      <x:c r="B596" s="50" t="str">
        <x:v>Bellegarde-sur-Valserine</x:v>
      </x:c>
      <x:c r="C596" s="51" t="n">
        <x:v>34</x:v>
      </x:c>
      <x:c r="D596" s="50" t="str">
        <x:v>Adulte</x:v>
      </x:c>
      <x:c r="E596" s="50" t="str">
        <x:v>illico LIBERTÉ — Week-end / Jour férié (-50 %)</x:v>
      </x:c>
      <x:c r="F596" s="52" t="n">
        <x:v>4.5</x:v>
      </x:c>
      <x:c r="G596" s="52" t="n">
        <x:v>6.9</x:v>
      </x:c>
      <x:c r="H596" s="60" t="n">
        <x:f>G596-F596</x:f>
        <x:v>2.4000000000000004</x:v>
      </x:c>
      <x:c r="I596" s="50" t="str">
        <x:v>adult-illico-liberte-weekend</x:v>
      </x:c>
      <x:c r="J596" s="50" t="str">
        <x:v>culoz|bellegarde-sur-valserine</x:v>
      </x:c>
    </x:row>
    <x:row r="597">
      <x:c r="A597" s="50" t="str">
        <x:v>Culoz</x:v>
      </x:c>
      <x:c r="B597" s="50" t="str">
        <x:v>Bellegarde-sur-Valserine</x:v>
      </x:c>
      <x:c r="C597" s="51" t="n">
        <x:v>34</x:v>
      </x:c>
      <x:c r="D597" s="50" t="str">
        <x:v>Adulte</x:v>
      </x:c>
      <x:c r="E597" s="50" t="str">
        <x:v>illico LIBERTÉ — Accompagnant, Week-end / Jour férié (-50 %)</x:v>
      </x:c>
      <x:c r="F597" s="52" t="n">
        <x:v>4.5</x:v>
      </x:c>
      <x:c r="G597" s="52" t="n">
        <x:v>6.9</x:v>
      </x:c>
      <x:c r="H597" s="60" t="n">
        <x:f>G597-F597</x:f>
        <x:v>2.4000000000000004</x:v>
      </x:c>
      <x:c r="I597" s="50" t="str">
        <x:v>adult-illico-liberte-weekend-companion</x:v>
      </x:c>
      <x:c r="J597" s="50" t="str">
        <x:v>culoz|bellegarde-sur-valserine</x:v>
      </x:c>
    </x:row>
    <x:row r="598">
      <x:c r="A598" s="50" t="str">
        <x:v>Culoz</x:v>
      </x:c>
      <x:c r="B598" s="50" t="str">
        <x:v>Bellegarde-sur-Valserine</x:v>
      </x:c>
      <x:c r="C598" s="51" t="n">
        <x:v>34</x:v>
      </x:c>
      <x:c r="D598" s="50" t="str">
        <x:v>Adulte</x:v>
      </x:c>
      <x:c r="E598" s="50" t="str">
        <x:v>illico LIBERTÉ JEUNES (-50 %)</x:v>
      </x:c>
      <x:c r="F598" s="52" t="n">
        <x:v>4.5</x:v>
      </x:c>
      <x:c r="G598" s="52" t="n">
        <x:v>6.9</x:v>
      </x:c>
      <x:c r="H598" s="60" t="n">
        <x:f>G598-F598</x:f>
        <x:v>2.4000000000000004</x:v>
      </x:c>
      <x:c r="I598" s="50" t="str">
        <x:v>adult-illico-jeunes</x:v>
      </x:c>
      <x:c r="J598" s="50" t="str">
        <x:v>culoz|bellegarde-sur-valserine</x:v>
      </x:c>
    </x:row>
    <x:row r="599">
      <x:c r="A599" s="50" t="str">
        <x:v>Culoz</x:v>
      </x:c>
      <x:c r="B599" s="50" t="str">
        <x:v>Bellegarde-sur-Valserine</x:v>
      </x:c>
      <x:c r="C599" s="51" t="n">
        <x:v>34</x:v>
      </x:c>
      <x:c r="D599" s="50" t="str">
        <x:v>Adulte</x:v>
      </x:c>
      <x:c r="E599" s="50" t="str">
        <x:v>Carte Liberté SNCF (-25 %)</x:v>
      </x:c>
      <x:c r="F599" s="52" t="n">
        <x:v>6.8</x:v>
      </x:c>
      <x:c r="G599" s="52" t="n">
        <x:v>10.3</x:v>
      </x:c>
      <x:c r="H599" s="60" t="n">
        <x:f>G599-F599</x:f>
        <x:v>3.500000000000001</x:v>
      </x:c>
      <x:c r="I599" s="50" t="str">
        <x:v>adult-liberte-nationale</x:v>
      </x:c>
      <x:c r="J599" s="50" t="str">
        <x:v>culoz|bellegarde-sur-valserine</x:v>
      </x:c>
    </x:row>
    <x:row r="600">
      <x:c r="A600" s="50" t="str">
        <x:v>Culoz</x:v>
      </x:c>
      <x:c r="B600" s="50" t="str">
        <x:v>Bellegarde-sur-Valserine</x:v>
      </x:c>
      <x:c r="C600" s="51" t="n">
        <x:v>34</x:v>
      </x:c>
      <x:c r="D600" s="50" t="str">
        <x:v>Adulte</x:v>
      </x:c>
      <x:c r="E600" s="50" t="str">
        <x:v>Carte Familles Nombreuses (-30 %)</x:v>
      </x:c>
      <x:c r="F600" s="52" t="n">
        <x:v>5.2</x:v>
      </x:c>
      <x:c r="G600" s="52" t="n">
        <x:v>8.9</x:v>
      </x:c>
      <x:c r="H600" s="60" t="n">
        <x:f>G600-F600</x:f>
        <x:v>3.7</x:v>
      </x:c>
      <x:c r="I600" s="50" t="str">
        <x:v>adult-famille-nombreuse-30</x:v>
      </x:c>
      <x:c r="J600" s="50" t="str">
        <x:v>culoz|bellegarde-sur-valserine</x:v>
      </x:c>
    </x:row>
    <x:row r="601">
      <x:c r="A601" s="50" t="str">
        <x:v>Culoz</x:v>
      </x:c>
      <x:c r="B601" s="50" t="str">
        <x:v>Bellegarde-sur-Valserine</x:v>
      </x:c>
      <x:c r="C601" s="51" t="n">
        <x:v>34</x:v>
      </x:c>
      <x:c r="D601" s="50" t="str">
        <x:v>Adulte</x:v>
      </x:c>
      <x:c r="E601" s="50" t="str">
        <x:v>Carte Familles Nombreuses (-40 %)</x:v>
      </x:c>
      <x:c r="F601" s="52" t="n">
        <x:v>4.5</x:v>
      </x:c>
      <x:c r="G601" s="52" t="n">
        <x:v>8.2</x:v>
      </x:c>
      <x:c r="H601" s="60" t="n">
        <x:f>G601-F601</x:f>
        <x:v>3.6999999999999993</x:v>
      </x:c>
      <x:c r="I601" s="50" t="str">
        <x:v>adult-famille-nombreuse-40</x:v>
      </x:c>
      <x:c r="J601" s="50" t="str">
        <x:v>culoz|bellegarde-sur-valserine</x:v>
      </x:c>
    </x:row>
    <x:row r="602">
      <x:c r="A602" s="50" t="str">
        <x:v>Culoz</x:v>
      </x:c>
      <x:c r="B602" s="50" t="str">
        <x:v>Bellegarde-sur-Valserine</x:v>
      </x:c>
      <x:c r="C602" s="51" t="n">
        <x:v>34</x:v>
      </x:c>
      <x:c r="D602" s="50" t="str">
        <x:v>Adulte</x:v>
      </x:c>
      <x:c r="E602" s="50" t="str">
        <x:v>Carte Familles Nombreuses (-50 %)</x:v>
      </x:c>
      <x:c r="F602" s="52" t="n">
        <x:v>3.7</x:v>
      </x:c>
      <x:c r="G602" s="52" t="n">
        <x:v>7.4</x:v>
      </x:c>
      <x:c r="H602" s="60" t="n">
        <x:f>G602-F602</x:f>
        <x:v>3.7</x:v>
      </x:c>
      <x:c r="I602" s="50" t="str">
        <x:v>adult-famille-nombreuse-50</x:v>
      </x:c>
      <x:c r="J602" s="50" t="str">
        <x:v>culoz|bellegarde-sur-valserine</x:v>
      </x:c>
    </x:row>
    <x:row r="603">
      <x:c r="A603" s="50" t="str">
        <x:v>Culoz</x:v>
      </x:c>
      <x:c r="B603" s="50" t="str">
        <x:v>Bellegarde-sur-Valserine</x:v>
      </x:c>
      <x:c r="C603" s="51" t="n">
        <x:v>34</x:v>
      </x:c>
      <x:c r="D603" s="50" t="str">
        <x:v>Adulte</x:v>
      </x:c>
      <x:c r="E603" s="50" t="str">
        <x:v>Carte Familles Nombreuses (-75 %)</x:v>
      </x:c>
      <x:c r="F603" s="52" t="n">
        <x:v>1.9</x:v>
      </x:c>
      <x:c r="G603" s="52" t="n">
        <x:v>5.6</x:v>
      </x:c>
      <x:c r="H603" s="60" t="n">
        <x:f>G603-F603</x:f>
        <x:v>3.6999999999999997</x:v>
      </x:c>
      <x:c r="I603" s="50" t="str">
        <x:v>adult-famille-nombreuse-75</x:v>
      </x:c>
      <x:c r="J603" s="50" t="str">
        <x:v>culoz|bellegarde-sur-valserine</x:v>
      </x:c>
    </x:row>
    <x:row r="604">
      <x:c r="A604" s="50" t="str">
        <x:v>Culoz</x:v>
      </x:c>
      <x:c r="B604" s="50" t="str">
        <x:v>Bellegarde-sur-Valserine</x:v>
      </x:c>
      <x:c r="C604" s="51" t="n">
        <x:v>34</x:v>
      </x:c>
      <x:c r="D604" s="50" t="str">
        <x:v>Adulte</x:v>
      </x:c>
      <x:c r="E604" s="50" t="str">
        <x:v>Carte Militaire (-75 %)</x:v>
      </x:c>
      <x:c r="F604" s="52" t="n">
        <x:v>1.9</x:v>
      </x:c>
      <x:c r="G604" s="52" t="n">
        <x:v>5.6</x:v>
      </x:c>
      <x:c r="H604" s="60" t="n">
        <x:f>G604-F604</x:f>
        <x:v>3.6999999999999997</x:v>
      </x:c>
      <x:c r="I604" s="50" t="str">
        <x:v>adult-military</x:v>
      </x:c>
      <x:c r="J604" s="50" t="str">
        <x:v>culoz|bellegarde-sur-valserine</x:v>
      </x:c>
    </x:row>
    <x:row r="605">
      <x:c r="A605" s="50" t="str">
        <x:v>Culoz</x:v>
      </x:c>
      <x:c r="B605" s="50" t="str">
        <x:v>Bellegarde-sur-Valserine</x:v>
      </x:c>
      <x:c r="C605" s="51" t="n">
        <x:v>34</x:v>
      </x:c>
      <x:c r="D605" s="50" t="str">
        <x:v>Adulte</x:v>
      </x:c>
      <x:c r="E605" s="50" t="str">
        <x:v>Carte Famille Militaire (-40 %)</x:v>
      </x:c>
      <x:c r="F605" s="52" t="n">
        <x:v>5.4</x:v>
      </x:c>
      <x:c r="G605" s="52" t="n">
        <x:v>8.3</x:v>
      </x:c>
      <x:c r="H605" s="60" t="n">
        <x:f>G605-F605</x:f>
        <x:v>2.9000000000000004</x:v>
      </x:c>
      <x:c r="I605" s="50" t="str">
        <x:v>adult-family-military</x:v>
      </x:c>
      <x:c r="J605" s="50" t="str">
        <x:v>culoz|bellegarde-sur-valserine</x:v>
      </x:c>
    </x:row>
    <x:row r="606">
      <x:c r="A606" s="50" t="str">
        <x:v>Culoz</x:v>
      </x:c>
      <x:c r="B606" s="50" t="str">
        <x:v>Bellegarde-sur-Valserine</x:v>
      </x:c>
      <x:c r="C606" s="51" t="n">
        <x:v>34</x:v>
      </x:c>
      <x:c r="D606" s="50" t="str">
        <x:v>Enfant 4–11 ans</x:v>
      </x:c>
      <x:c r="E606" s="50" t="str">
        <x:v>Aucune — Tarif Enfant 4–11 ans</x:v>
      </x:c>
      <x:c r="F606" s="52" t="n">
        <x:v>4.5</x:v>
      </x:c>
      <x:c r="G606" s="52" t="n">
        <x:v>6.9</x:v>
      </x:c>
      <x:c r="H606" s="60" t="n">
        <x:f>G606-F606</x:f>
        <x:v>2.4000000000000004</x:v>
      </x:c>
      <x:c r="I606" s="50" t="str">
        <x:v>child-none</x:v>
      </x:c>
      <x:c r="J606" s="50" t="str">
        <x:v>culoz|bellegarde-sur-valserine</x:v>
      </x:c>
    </x:row>
    <x:row r="607">
      <x:c r="A607" s="50" t="str">
        <x:v>Culoz</x:v>
      </x:c>
      <x:c r="B607" s="50" t="str">
        <x:v>Bellegarde-sur-Valserine</x:v>
      </x:c>
      <x:c r="C607" s="51" t="n">
        <x:v>34</x:v>
      </x:c>
      <x:c r="D607" s="50" t="str">
        <x:v>Enfant 4–11 ans</x:v>
      </x:c>
      <x:c r="E607" s="50" t="str">
        <x:v>illico LIBERTÉ — Accompagnant, Week-end / Jour férié</x:v>
      </x:c>
      <x:c r="F607" s="52" t="n">
        <x:v>2.3</x:v>
      </x:c>
      <x:c r="G607" s="52" t="n">
        <x:v>3.5</x:v>
      </x:c>
      <x:c r="H607" s="60" t="n">
        <x:f>G607-F607</x:f>
        <x:v>1.2000000000000002</x:v>
      </x:c>
      <x:c r="I607" s="50" t="str">
        <x:v>child-illico-liberte-weekend-companion</x:v>
      </x:c>
      <x:c r="J607" s="50" t="str">
        <x:v>culoz|bellegarde-sur-valserine</x:v>
      </x:c>
    </x:row>
    <x:row r="608">
      <x:c r="A608" s="50" t="str">
        <x:v>Culoz</x:v>
      </x:c>
      <x:c r="B608" s="50" t="str">
        <x:v>Bellegarde-sur-Valserine</x:v>
      </x:c>
      <x:c r="C608" s="51" t="n">
        <x:v>34</x:v>
      </x:c>
      <x:c r="D608" s="50" t="str">
        <x:v>Enfant 4–11 ans</x:v>
      </x:c>
      <x:c r="E608" s="50" t="str">
        <x:v>Carte Famille Militaire</x:v>
      </x:c>
      <x:c r="F608" s="52" t="n">
        <x:v>2.7</x:v>
      </x:c>
      <x:c r="G608" s="52" t="n">
        <x:v>4.2</x:v>
      </x:c>
      <x:c r="H608" s="60" t="n">
        <x:f>G608-F608</x:f>
        <x:v>1.5</x:v>
      </x:c>
      <x:c r="I608" s="50" t="str">
        <x:v>child-family-military</x:v>
      </x:c>
      <x:c r="J608" s="50" t="str">
        <x:v>culoz|bellegarde-sur-valserine</x:v>
      </x:c>
    </x:row>
    <x:row r="609">
      <x:c r="A609" s="50" t="str">
        <x:v>Culoz</x:v>
      </x:c>
      <x:c r="B609" s="50" t="str">
        <x:v>Bellegarde-sur-Valserine</x:v>
      </x:c>
      <x:c r="C609" s="51" t="n">
        <x:v>34</x:v>
      </x:c>
      <x:c r="D609" s="50" t="str">
        <x:v>Enfant 4–11 ans</x:v>
      </x:c>
      <x:c r="E609" s="50" t="str">
        <x:v>Carte Familles Nombreuses (-30 %)</x:v>
      </x:c>
      <x:c r="F609" s="52" t="n">
        <x:v>2.6</x:v>
      </x:c>
      <x:c r="G609" s="52" t="n">
        <x:v>4.5</x:v>
      </x:c>
      <x:c r="H609" s="60" t="n">
        <x:f>G609-F609</x:f>
        <x:v>1.9</x:v>
      </x:c>
      <x:c r="I609" s="50" t="str">
        <x:v>child-famille-nombreuse-30</x:v>
      </x:c>
      <x:c r="J609" s="50" t="str">
        <x:v>culoz|bellegarde-sur-valserine</x:v>
      </x:c>
    </x:row>
    <x:row r="610">
      <x:c r="A610" s="50" t="str">
        <x:v>Culoz</x:v>
      </x:c>
      <x:c r="B610" s="50" t="str">
        <x:v>Bellegarde-sur-Valserine</x:v>
      </x:c>
      <x:c r="C610" s="51" t="n">
        <x:v>34</x:v>
      </x:c>
      <x:c r="D610" s="50" t="str">
        <x:v>Enfant 4–11 ans</x:v>
      </x:c>
      <x:c r="E610" s="50" t="str">
        <x:v>Carte Familles Nombreuses (-40 %)</x:v>
      </x:c>
      <x:c r="F610" s="52" t="n">
        <x:v>2.3</x:v>
      </x:c>
      <x:c r="G610" s="52" t="n">
        <x:v>4.1</x:v>
      </x:c>
      <x:c r="H610" s="60" t="n">
        <x:f>G610-F610</x:f>
        <x:v>1.7999999999999998</x:v>
      </x:c>
      <x:c r="I610" s="50" t="str">
        <x:v>child-famille-nombreuse-40</x:v>
      </x:c>
      <x:c r="J610" s="50" t="str">
        <x:v>culoz|bellegarde-sur-valserine</x:v>
      </x:c>
    </x:row>
    <x:row r="611">
      <x:c r="A611" s="50" t="str">
        <x:v>Culoz</x:v>
      </x:c>
      <x:c r="B611" s="50" t="str">
        <x:v>Bellegarde-sur-Valserine</x:v>
      </x:c>
      <x:c r="C611" s="51" t="n">
        <x:v>34</x:v>
      </x:c>
      <x:c r="D611" s="50" t="str">
        <x:v>Enfant 4–11 ans</x:v>
      </x:c>
      <x:c r="E611" s="50" t="str">
        <x:v>Carte Familles Nombreuses (-50 %)</x:v>
      </x:c>
      <x:c r="F611" s="52" t="n">
        <x:v>1.9</x:v>
      </x:c>
      <x:c r="G611" s="52" t="n">
        <x:v>3.7</x:v>
      </x:c>
      <x:c r="H611" s="60" t="n">
        <x:f>G611-F611</x:f>
        <x:v>1.8000000000000003</x:v>
      </x:c>
      <x:c r="I611" s="50" t="str">
        <x:v>child-famille-nombreuse-50</x:v>
      </x:c>
      <x:c r="J611" s="50" t="str">
        <x:v>culoz|bellegarde-sur-valserine</x:v>
      </x:c>
    </x:row>
    <x:row r="612">
      <x:c r="A612" s="50" t="str">
        <x:v>Culoz</x:v>
      </x:c>
      <x:c r="B612" s="50" t="str">
        <x:v>Bellegarde-sur-Valserine</x:v>
      </x:c>
      <x:c r="C612" s="51" t="n">
        <x:v>34</x:v>
      </x:c>
      <x:c r="D612" s="50" t="str">
        <x:v>Enfant 4–11 ans</x:v>
      </x:c>
      <x:c r="E612" s="50" t="str">
        <x:v>Carte Familles Nombreuses (-75 %)</x:v>
      </x:c>
      <x:c r="F612" s="52" t="n">
        <x:v>1.2</x:v>
      </x:c>
      <x:c r="G612" s="52" t="n">
        <x:v>2.8</x:v>
      </x:c>
      <x:c r="H612" s="60" t="n">
        <x:f>G612-F612</x:f>
        <x:v>1.5999999999999999</x:v>
      </x:c>
      <x:c r="I612" s="50" t="str">
        <x:v>child-famille-nombreuse-75</x:v>
      </x:c>
      <x:c r="J612" s="50" t="str">
        <x:v>culoz|bellegarde-sur-valserine</x:v>
      </x:c>
    </x:row>
    <x:row r="613">
      <x:c r="A613" s="50" t="str">
        <x:v>Culoz</x:v>
      </x:c>
      <x:c r="B613" s="50" t="str">
        <x:v>Genève</x:v>
      </x:c>
      <x:c r="C613" s="51" t="n">
        <x:v>76</x:v>
      </x:c>
      <x:c r="D613" s="50" t="str">
        <x:v>Adulte</x:v>
      </x:c>
      <x:c r="E613" s="50" t="str">
        <x:v>Aucune — Plein tarif</x:v>
      </x:c>
      <x:c r="F613" s="52" t="n">
        <x:v>15.8</x:v>
      </x:c>
      <x:c r="G613" s="52" t="n">
        <x:v>24</x:v>
      </x:c>
      <x:c r="H613" s="60" t="n">
        <x:f>G613-F613</x:f>
        <x:v>8.2</x:v>
      </x:c>
      <x:c r="I613" s="50" t="str">
        <x:v>adult-none</x:v>
      </x:c>
      <x:c r="J613" s="50" t="str">
        <x:v>culoz|geneve</x:v>
      </x:c>
    </x:row>
    <x:row r="614">
      <x:c r="A614" s="50" t="str">
        <x:v>Culoz</x:v>
      </x:c>
      <x:c r="B614" s="50" t="str">
        <x:v>Genève</x:v>
      </x:c>
      <x:c r="C614" s="51" t="n">
        <x:v>76</x:v>
      </x:c>
      <x:c r="D614" s="50" t="str">
        <x:v>Adulte</x:v>
      </x:c>
      <x:c r="E614" s="50" t="str">
        <x:v>illico LIBERTÉ — Semaine (-25 %)</x:v>
      </x:c>
      <x:c r="F614" s="52" t="n">
        <x:v>11.9</x:v>
      </x:c>
      <x:c r="G614" s="52" t="n">
        <x:v>18</x:v>
      </x:c>
      <x:c r="H614" s="60" t="n">
        <x:f>G614-F614</x:f>
        <x:v>6.1</x:v>
      </x:c>
      <x:c r="I614" s="50" t="str">
        <x:v>adult-illico-liberte-weekday</x:v>
      </x:c>
      <x:c r="J614" s="50" t="str">
        <x:v>culoz|geneve</x:v>
      </x:c>
    </x:row>
    <x:row r="615">
      <x:c r="A615" s="50" t="str">
        <x:v>Culoz</x:v>
      </x:c>
      <x:c r="B615" s="50" t="str">
        <x:v>Genève</x:v>
      </x:c>
      <x:c r="C615" s="51" t="n">
        <x:v>76</x:v>
      </x:c>
      <x:c r="D615" s="50" t="str">
        <x:v>Adulte</x:v>
      </x:c>
      <x:c r="E615" s="50" t="str">
        <x:v>illico LIBERTÉ — Week-end / Jour férié (-50 %)</x:v>
      </x:c>
      <x:c r="F615" s="52" t="n">
        <x:v>7.9</x:v>
      </x:c>
      <x:c r="G615" s="52" t="n">
        <x:v>12</x:v>
      </x:c>
      <x:c r="H615" s="60" t="n">
        <x:f>G615-F615</x:f>
        <x:v>4.1</x:v>
      </x:c>
      <x:c r="I615" s="50" t="str">
        <x:v>adult-illico-liberte-weekend</x:v>
      </x:c>
      <x:c r="J615" s="50" t="str">
        <x:v>culoz|geneve</x:v>
      </x:c>
    </x:row>
    <x:row r="616">
      <x:c r="A616" s="50" t="str">
        <x:v>Culoz</x:v>
      </x:c>
      <x:c r="B616" s="50" t="str">
        <x:v>Genève</x:v>
      </x:c>
      <x:c r="C616" s="51" t="n">
        <x:v>76</x:v>
      </x:c>
      <x:c r="D616" s="50" t="str">
        <x:v>Adulte</x:v>
      </x:c>
      <x:c r="E616" s="50" t="str">
        <x:v>illico LIBERTÉ — Accompagnant, Week-end / Jour férié (-50 %)</x:v>
      </x:c>
      <x:c r="F616" s="52" t="n">
        <x:v>7.9</x:v>
      </x:c>
      <x:c r="G616" s="52" t="n">
        <x:v>12</x:v>
      </x:c>
      <x:c r="H616" s="60" t="n">
        <x:f>G616-F616</x:f>
        <x:v>4.1</x:v>
      </x:c>
      <x:c r="I616" s="50" t="str">
        <x:v>adult-illico-liberte-weekend-companion</x:v>
      </x:c>
      <x:c r="J616" s="50" t="str">
        <x:v>culoz|geneve</x:v>
      </x:c>
    </x:row>
    <x:row r="617">
      <x:c r="A617" s="50" t="str">
        <x:v>Culoz</x:v>
      </x:c>
      <x:c r="B617" s="50" t="str">
        <x:v>Genève</x:v>
      </x:c>
      <x:c r="C617" s="51" t="n">
        <x:v>76</x:v>
      </x:c>
      <x:c r="D617" s="50" t="str">
        <x:v>Adulte</x:v>
      </x:c>
      <x:c r="E617" s="50" t="str">
        <x:v>illico LIBERTÉ JEUNES (-50 %)</x:v>
      </x:c>
      <x:c r="F617" s="52" t="n">
        <x:v>7.9</x:v>
      </x:c>
      <x:c r="G617" s="52" t="n">
        <x:v>12</x:v>
      </x:c>
      <x:c r="H617" s="60" t="n">
        <x:f>G617-F617</x:f>
        <x:v>4.1</x:v>
      </x:c>
      <x:c r="I617" s="50" t="str">
        <x:v>adult-illico-jeunes</x:v>
      </x:c>
      <x:c r="J617" s="50" t="str">
        <x:v>culoz|geneve</x:v>
      </x:c>
    </x:row>
    <x:row r="618">
      <x:c r="A618" s="50" t="str">
        <x:v>Culoz</x:v>
      </x:c>
      <x:c r="B618" s="50" t="str">
        <x:v>Genève</x:v>
      </x:c>
      <x:c r="C618" s="51" t="n">
        <x:v>76</x:v>
      </x:c>
      <x:c r="D618" s="50" t="str">
        <x:v>Adulte</x:v>
      </x:c>
      <x:c r="E618" s="50" t="str">
        <x:v>Carte Liberté SNCF (-25 %)</x:v>
      </x:c>
      <x:c r="F618" s="52" t="n">
        <x:v>11.9</x:v>
      </x:c>
      <x:c r="G618" s="52" t="n">
        <x:v>18</x:v>
      </x:c>
      <x:c r="H618" s="60" t="n">
        <x:f>G618-F618</x:f>
        <x:v>6.1</x:v>
      </x:c>
      <x:c r="I618" s="50" t="str">
        <x:v>adult-liberte-nationale</x:v>
      </x:c>
      <x:c r="J618" s="50" t="str">
        <x:v>culoz|geneve</x:v>
      </x:c>
    </x:row>
    <x:row r="619">
      <x:c r="A619" s="50" t="str">
        <x:v>Culoz</x:v>
      </x:c>
      <x:c r="B619" s="50" t="str">
        <x:v>Genève</x:v>
      </x:c>
      <x:c r="C619" s="51" t="n">
        <x:v>76</x:v>
      </x:c>
      <x:c r="D619" s="50" t="str">
        <x:v>Adulte</x:v>
      </x:c>
      <x:c r="E619" s="50" t="str">
        <x:v>Carte Familles Nombreuses (-30 %)</x:v>
      </x:c>
      <x:c r="F619" s="52" t="n">
        <x:v>9</x:v>
      </x:c>
      <x:c r="G619" s="52" t="n">
        <x:v>15.3</x:v>
      </x:c>
      <x:c r="H619" s="60" t="n">
        <x:f>G619-F619</x:f>
        <x:v>6.300000000000001</x:v>
      </x:c>
      <x:c r="I619" s="50" t="str">
        <x:v>adult-famille-nombreuse-30</x:v>
      </x:c>
      <x:c r="J619" s="50" t="str">
        <x:v>culoz|geneve</x:v>
      </x:c>
    </x:row>
    <x:row r="620">
      <x:c r="A620" s="50" t="str">
        <x:v>Culoz</x:v>
      </x:c>
      <x:c r="B620" s="50" t="str">
        <x:v>Genève</x:v>
      </x:c>
      <x:c r="C620" s="51" t="n">
        <x:v>76</x:v>
      </x:c>
      <x:c r="D620" s="50" t="str">
        <x:v>Adulte</x:v>
      </x:c>
      <x:c r="E620" s="50" t="str">
        <x:v>Carte Familles Nombreuses (-40 %)</x:v>
      </x:c>
      <x:c r="F620" s="52" t="n">
        <x:v>7.7</x:v>
      </x:c>
      <x:c r="G620" s="52" t="n">
        <x:v>14</x:v>
      </x:c>
      <x:c r="H620" s="60" t="n">
        <x:f>G620-F620</x:f>
        <x:v>6.3</x:v>
      </x:c>
      <x:c r="I620" s="50" t="str">
        <x:v>adult-famille-nombreuse-40</x:v>
      </x:c>
      <x:c r="J620" s="50" t="str">
        <x:v>culoz|geneve</x:v>
      </x:c>
    </x:row>
    <x:row r="621">
      <x:c r="A621" s="50" t="str">
        <x:v>Culoz</x:v>
      </x:c>
      <x:c r="B621" s="50" t="str">
        <x:v>Genève</x:v>
      </x:c>
      <x:c r="C621" s="51" t="n">
        <x:v>76</x:v>
      </x:c>
      <x:c r="D621" s="50" t="str">
        <x:v>Adulte</x:v>
      </x:c>
      <x:c r="E621" s="50" t="str">
        <x:v>Carte Familles Nombreuses (-50 %)</x:v>
      </x:c>
      <x:c r="F621" s="52" t="n">
        <x:v>6.4</x:v>
      </x:c>
      <x:c r="G621" s="52" t="n">
        <x:v>12.7</x:v>
      </x:c>
      <x:c r="H621" s="60" t="n">
        <x:f>G621-F621</x:f>
        <x:v>6.299999999999999</x:v>
      </x:c>
      <x:c r="I621" s="50" t="str">
        <x:v>adult-famille-nombreuse-50</x:v>
      </x:c>
      <x:c r="J621" s="50" t="str">
        <x:v>culoz|geneve</x:v>
      </x:c>
    </x:row>
    <x:row r="622">
      <x:c r="A622" s="50" t="str">
        <x:v>Culoz</x:v>
      </x:c>
      <x:c r="B622" s="50" t="str">
        <x:v>Genève</x:v>
      </x:c>
      <x:c r="C622" s="51" t="n">
        <x:v>76</x:v>
      </x:c>
      <x:c r="D622" s="50" t="str">
        <x:v>Adulte</x:v>
      </x:c>
      <x:c r="E622" s="50" t="str">
        <x:v>Carte Familles Nombreuses (-75 %)</x:v>
      </x:c>
      <x:c r="F622" s="52" t="n">
        <x:v>3.2</x:v>
      </x:c>
      <x:c r="G622" s="52" t="n">
        <x:v>9.5</x:v>
      </x:c>
      <x:c r="H622" s="60" t="n">
        <x:f>G622-F622</x:f>
        <x:v>6.3</x:v>
      </x:c>
      <x:c r="I622" s="50" t="str">
        <x:v>adult-famille-nombreuse-75</x:v>
      </x:c>
      <x:c r="J622" s="50" t="str">
        <x:v>culoz|geneve</x:v>
      </x:c>
    </x:row>
    <x:row r="623">
      <x:c r="A623" s="50" t="str">
        <x:v>Culoz</x:v>
      </x:c>
      <x:c r="B623" s="50" t="str">
        <x:v>Genève</x:v>
      </x:c>
      <x:c r="C623" s="51" t="n">
        <x:v>76</x:v>
      </x:c>
      <x:c r="D623" s="50" t="str">
        <x:v>Adulte</x:v>
      </x:c>
      <x:c r="E623" s="50" t="str">
        <x:v>Carte Militaire (-75 %)</x:v>
      </x:c>
      <x:c r="F623" s="52" t="n">
        <x:v>3.2</x:v>
      </x:c>
      <x:c r="G623" s="52" t="n">
        <x:v>9.5</x:v>
      </x:c>
      <x:c r="H623" s="60" t="n">
        <x:f>G623-F623</x:f>
        <x:v>6.3</x:v>
      </x:c>
      <x:c r="I623" s="50" t="str">
        <x:v>adult-military</x:v>
      </x:c>
      <x:c r="J623" s="50" t="str">
        <x:v>culoz|geneve</x:v>
      </x:c>
    </x:row>
    <x:row r="624">
      <x:c r="A624" s="50" t="str">
        <x:v>Culoz</x:v>
      </x:c>
      <x:c r="B624" s="50" t="str">
        <x:v>Genève</x:v>
      </x:c>
      <x:c r="C624" s="51" t="n">
        <x:v>76</x:v>
      </x:c>
      <x:c r="D624" s="50" t="str">
        <x:v>Adulte</x:v>
      </x:c>
      <x:c r="E624" s="50" t="str">
        <x:v>Carte Famille Militaire (-40 %)</x:v>
      </x:c>
      <x:c r="F624" s="52" t="n">
        <x:v>9.5</x:v>
      </x:c>
      <x:c r="G624" s="52" t="n">
        <x:v>14.4</x:v>
      </x:c>
      <x:c r="H624" s="60" t="n">
        <x:f>G624-F624</x:f>
        <x:v>4.9</x:v>
      </x:c>
      <x:c r="I624" s="50" t="str">
        <x:v>adult-family-military</x:v>
      </x:c>
      <x:c r="J624" s="50" t="str">
        <x:v>culoz|geneve</x:v>
      </x:c>
    </x:row>
    <x:row r="625">
      <x:c r="A625" s="50" t="str">
        <x:v>Culoz</x:v>
      </x:c>
      <x:c r="B625" s="50" t="str">
        <x:v>Genève</x:v>
      </x:c>
      <x:c r="C625" s="51" t="n">
        <x:v>76</x:v>
      </x:c>
      <x:c r="D625" s="50" t="str">
        <x:v>Enfant 4–11 ans</x:v>
      </x:c>
      <x:c r="E625" s="50" t="str">
        <x:v>Aucune — Tarif Enfant 4–11 ans</x:v>
      </x:c>
      <x:c r="F625" s="52" t="n">
        <x:v>7.9</x:v>
      </x:c>
      <x:c r="G625" s="52" t="n">
        <x:v>12</x:v>
      </x:c>
      <x:c r="H625" s="60" t="n">
        <x:f>G625-F625</x:f>
        <x:v>4.1</x:v>
      </x:c>
      <x:c r="I625" s="50" t="str">
        <x:v>child-none</x:v>
      </x:c>
      <x:c r="J625" s="50" t="str">
        <x:v>culoz|geneve</x:v>
      </x:c>
    </x:row>
    <x:row r="626">
      <x:c r="A626" s="50" t="str">
        <x:v>Culoz</x:v>
      </x:c>
      <x:c r="B626" s="50" t="str">
        <x:v>Genève</x:v>
      </x:c>
      <x:c r="C626" s="51" t="n">
        <x:v>76</x:v>
      </x:c>
      <x:c r="D626" s="50" t="str">
        <x:v>Enfant 4–11 ans</x:v>
      </x:c>
      <x:c r="E626" s="50" t="str">
        <x:v>illico LIBERTÉ — Accompagnant, Week-end / Jour férié</x:v>
      </x:c>
      <x:c r="F626" s="52" t="n">
        <x:v>4</x:v>
      </x:c>
      <x:c r="G626" s="52" t="n">
        <x:v>6</x:v>
      </x:c>
      <x:c r="H626" s="60" t="n">
        <x:f>G626-F626</x:f>
        <x:v>2</x:v>
      </x:c>
      <x:c r="I626" s="50" t="str">
        <x:v>child-illico-liberte-weekend-companion</x:v>
      </x:c>
      <x:c r="J626" s="50" t="str">
        <x:v>culoz|geneve</x:v>
      </x:c>
    </x:row>
    <x:row r="627">
      <x:c r="A627" s="50" t="str">
        <x:v>Culoz</x:v>
      </x:c>
      <x:c r="B627" s="50" t="str">
        <x:v>Genève</x:v>
      </x:c>
      <x:c r="C627" s="51" t="n">
        <x:v>76</x:v>
      </x:c>
      <x:c r="D627" s="50" t="str">
        <x:v>Enfant 4–11 ans</x:v>
      </x:c>
      <x:c r="E627" s="50" t="str">
        <x:v>Carte Famille Militaire</x:v>
      </x:c>
      <x:c r="F627" s="52" t="n">
        <x:v>4.8</x:v>
      </x:c>
      <x:c r="G627" s="52" t="n">
        <x:v>7.2</x:v>
      </x:c>
      <x:c r="H627" s="60" t="n">
        <x:f>G627-F627</x:f>
        <x:v>2.4000000000000004</x:v>
      </x:c>
      <x:c r="I627" s="50" t="str">
        <x:v>child-family-military</x:v>
      </x:c>
      <x:c r="J627" s="50" t="str">
        <x:v>culoz|geneve</x:v>
      </x:c>
    </x:row>
    <x:row r="628">
      <x:c r="A628" s="50" t="str">
        <x:v>Culoz</x:v>
      </x:c>
      <x:c r="B628" s="50" t="str">
        <x:v>Genève</x:v>
      </x:c>
      <x:c r="C628" s="51" t="n">
        <x:v>76</x:v>
      </x:c>
      <x:c r="D628" s="50" t="str">
        <x:v>Enfant 4–11 ans</x:v>
      </x:c>
      <x:c r="E628" s="50" t="str">
        <x:v>Carte Familles Nombreuses (-30 %)</x:v>
      </x:c>
      <x:c r="F628" s="52" t="n">
        <x:v>4.5</x:v>
      </x:c>
      <x:c r="G628" s="52" t="n">
        <x:v>7.7</x:v>
      </x:c>
      <x:c r="H628" s="60" t="n">
        <x:f>G628-F628</x:f>
        <x:v>3.2</x:v>
      </x:c>
      <x:c r="I628" s="50" t="str">
        <x:v>child-famille-nombreuse-30</x:v>
      </x:c>
      <x:c r="J628" s="50" t="str">
        <x:v>culoz|geneve</x:v>
      </x:c>
    </x:row>
    <x:row r="629">
      <x:c r="A629" s="50" t="str">
        <x:v>Culoz</x:v>
      </x:c>
      <x:c r="B629" s="50" t="str">
        <x:v>Genève</x:v>
      </x:c>
      <x:c r="C629" s="51" t="n">
        <x:v>76</x:v>
      </x:c>
      <x:c r="D629" s="50" t="str">
        <x:v>Enfant 4–11 ans</x:v>
      </x:c>
      <x:c r="E629" s="50" t="str">
        <x:v>Carte Familles Nombreuses (-40 %)</x:v>
      </x:c>
      <x:c r="F629" s="52" t="n">
        <x:v>3.9</x:v>
      </x:c>
      <x:c r="G629" s="52" t="n">
        <x:v>7</x:v>
      </x:c>
      <x:c r="H629" s="60" t="n">
        <x:f>G629-F629</x:f>
        <x:v>3.1</x:v>
      </x:c>
      <x:c r="I629" s="50" t="str">
        <x:v>child-famille-nombreuse-40</x:v>
      </x:c>
      <x:c r="J629" s="50" t="str">
        <x:v>culoz|geneve</x:v>
      </x:c>
    </x:row>
    <x:row r="630">
      <x:c r="A630" s="50" t="str">
        <x:v>Culoz</x:v>
      </x:c>
      <x:c r="B630" s="50" t="str">
        <x:v>Genève</x:v>
      </x:c>
      <x:c r="C630" s="51" t="n">
        <x:v>76</x:v>
      </x:c>
      <x:c r="D630" s="50" t="str">
        <x:v>Enfant 4–11 ans</x:v>
      </x:c>
      <x:c r="E630" s="50" t="str">
        <x:v>Carte Familles Nombreuses (-50 %)</x:v>
      </x:c>
      <x:c r="F630" s="52" t="n">
        <x:v>3.2</x:v>
      </x:c>
      <x:c r="G630" s="52" t="n">
        <x:v>6.4</x:v>
      </x:c>
      <x:c r="H630" s="60" t="n">
        <x:f>G630-F630</x:f>
        <x:v>3.2</x:v>
      </x:c>
      <x:c r="I630" s="50" t="str">
        <x:v>child-famille-nombreuse-50</x:v>
      </x:c>
      <x:c r="J630" s="50" t="str">
        <x:v>culoz|geneve</x:v>
      </x:c>
    </x:row>
    <x:row r="631">
      <x:c r="A631" s="50" t="str">
        <x:v>Culoz</x:v>
      </x:c>
      <x:c r="B631" s="50" t="str">
        <x:v>Genève</x:v>
      </x:c>
      <x:c r="C631" s="51" t="n">
        <x:v>76</x:v>
      </x:c>
      <x:c r="D631" s="50" t="str">
        <x:v>Enfant 4–11 ans</x:v>
      </x:c>
      <x:c r="E631" s="50" t="str">
        <x:v>Carte Familles Nombreuses (-75 %)</x:v>
      </x:c>
      <x:c r="F631" s="52" t="n">
        <x:v>1.6</x:v>
      </x:c>
      <x:c r="G631" s="52" t="n">
        <x:v>4.8</x:v>
      </x:c>
      <x:c r="H631" s="60" t="n">
        <x:f>G631-F631</x:f>
        <x:v>3.1999999999999997</x:v>
      </x:c>
      <x:c r="I631" s="50" t="str">
        <x:v>child-famille-nombreuse-75</x:v>
      </x:c>
      <x:c r="J631" s="50" t="str">
        <x:v>culoz|geneve</x:v>
      </x:c>
    </x:row>
    <x:row r="632">
      <x:c r="A632" s="50" t="str">
        <x:v>Seyssel – Corbonod</x:v>
      </x:c>
      <x:c r="B632" s="50" t="str">
        <x:v>Bellegarde-sur-Valserine</x:v>
      </x:c>
      <x:c r="C632" s="51" t="n">
        <x:v>19</x:v>
      </x:c>
      <x:c r="D632" s="50" t="str">
        <x:v>Adulte</x:v>
      </x:c>
      <x:c r="E632" s="50" t="str">
        <x:v>Aucune — Plein tarif</x:v>
      </x:c>
      <x:c r="F632" s="52" t="n">
        <x:v>5.1</x:v>
      </x:c>
      <x:c r="G632" s="52" t="n">
        <x:v>7.8</x:v>
      </x:c>
      <x:c r="H632" s="60" t="n">
        <x:f>G632-F632</x:f>
        <x:v>2.7</x:v>
      </x:c>
      <x:c r="I632" s="50" t="str">
        <x:v>adult-none</x:v>
      </x:c>
      <x:c r="J632" s="50" t="str">
        <x:v>seyssel-corbonod|bellegarde-sur-valserine</x:v>
      </x:c>
    </x:row>
    <x:row r="633">
      <x:c r="A633" s="50" t="str">
        <x:v>Seyssel – Corbonod</x:v>
      </x:c>
      <x:c r="B633" s="50" t="str">
        <x:v>Bellegarde-sur-Valserine</x:v>
      </x:c>
      <x:c r="C633" s="51" t="n">
        <x:v>19</x:v>
      </x:c>
      <x:c r="D633" s="50" t="str">
        <x:v>Adulte</x:v>
      </x:c>
      <x:c r="E633" s="50" t="str">
        <x:v>illico LIBERTÉ — Semaine (-25 %)</x:v>
      </x:c>
      <x:c r="F633" s="52" t="n">
        <x:v>3.9</x:v>
      </x:c>
      <x:c r="G633" s="52" t="n">
        <x:v>5.9</x:v>
      </x:c>
      <x:c r="H633" s="60" t="n">
        <x:f>G633-F633</x:f>
        <x:v>2.0000000000000004</x:v>
      </x:c>
      <x:c r="I633" s="50" t="str">
        <x:v>adult-illico-liberte-weekday</x:v>
      </x:c>
      <x:c r="J633" s="50" t="str">
        <x:v>seyssel-corbonod|bellegarde-sur-valserine</x:v>
      </x:c>
    </x:row>
    <x:row r="634">
      <x:c r="A634" s="50" t="str">
        <x:v>Seyssel – Corbonod</x:v>
      </x:c>
      <x:c r="B634" s="50" t="str">
        <x:v>Bellegarde-sur-Valserine</x:v>
      </x:c>
      <x:c r="C634" s="51" t="n">
        <x:v>19</x:v>
      </x:c>
      <x:c r="D634" s="50" t="str">
        <x:v>Adulte</x:v>
      </x:c>
      <x:c r="E634" s="50" t="str">
        <x:v>illico LIBERTÉ — Week-end / Jour férié (-50 %)</x:v>
      </x:c>
      <x:c r="F634" s="52" t="n">
        <x:v>2.6</x:v>
      </x:c>
      <x:c r="G634" s="52" t="n">
        <x:v>3.9</x:v>
      </x:c>
      <x:c r="H634" s="60" t="n">
        <x:f>G634-F634</x:f>
        <x:v>1.2999999999999998</x:v>
      </x:c>
      <x:c r="I634" s="50" t="str">
        <x:v>adult-illico-liberte-weekend</x:v>
      </x:c>
      <x:c r="J634" s="50" t="str">
        <x:v>seyssel-corbonod|bellegarde-sur-valserine</x:v>
      </x:c>
    </x:row>
    <x:row r="635">
      <x:c r="A635" s="50" t="str">
        <x:v>Seyssel – Corbonod</x:v>
      </x:c>
      <x:c r="B635" s="50" t="str">
        <x:v>Bellegarde-sur-Valserine</x:v>
      </x:c>
      <x:c r="C635" s="51" t="n">
        <x:v>19</x:v>
      </x:c>
      <x:c r="D635" s="50" t="str">
        <x:v>Adulte</x:v>
      </x:c>
      <x:c r="E635" s="50" t="str">
        <x:v>illico LIBERTÉ — Accompagnant, Week-end / Jour férié (-50 %)</x:v>
      </x:c>
      <x:c r="F635" s="52" t="n">
        <x:v>2.6</x:v>
      </x:c>
      <x:c r="G635" s="52" t="n">
        <x:v>3.9</x:v>
      </x:c>
      <x:c r="H635" s="60" t="n">
        <x:f>G635-F635</x:f>
        <x:v>1.2999999999999998</x:v>
      </x:c>
      <x:c r="I635" s="50" t="str">
        <x:v>adult-illico-liberte-weekend-companion</x:v>
      </x:c>
      <x:c r="J635" s="50" t="str">
        <x:v>seyssel-corbonod|bellegarde-sur-valserine</x:v>
      </x:c>
    </x:row>
    <x:row r="636">
      <x:c r="A636" s="50" t="str">
        <x:v>Seyssel – Corbonod</x:v>
      </x:c>
      <x:c r="B636" s="50" t="str">
        <x:v>Bellegarde-sur-Valserine</x:v>
      </x:c>
      <x:c r="C636" s="51" t="n">
        <x:v>19</x:v>
      </x:c>
      <x:c r="D636" s="50" t="str">
        <x:v>Adulte</x:v>
      </x:c>
      <x:c r="E636" s="50" t="str">
        <x:v>illico LIBERTÉ JEUNES (-50 %)</x:v>
      </x:c>
      <x:c r="F636" s="52" t="n">
        <x:v>2.6</x:v>
      </x:c>
      <x:c r="G636" s="52" t="n">
        <x:v>3.9</x:v>
      </x:c>
      <x:c r="H636" s="60" t="n">
        <x:f>G636-F636</x:f>
        <x:v>1.2999999999999998</x:v>
      </x:c>
      <x:c r="I636" s="50" t="str">
        <x:v>adult-illico-jeunes</x:v>
      </x:c>
      <x:c r="J636" s="50" t="str">
        <x:v>seyssel-corbonod|bellegarde-sur-valserine</x:v>
      </x:c>
    </x:row>
    <x:row r="637">
      <x:c r="A637" s="50" t="str">
        <x:v>Seyssel – Corbonod</x:v>
      </x:c>
      <x:c r="B637" s="50" t="str">
        <x:v>Bellegarde-sur-Valserine</x:v>
      </x:c>
      <x:c r="C637" s="51" t="n">
        <x:v>19</x:v>
      </x:c>
      <x:c r="D637" s="50" t="str">
        <x:v>Adulte</x:v>
      </x:c>
      <x:c r="E637" s="50" t="str">
        <x:v>Carte Liberté SNCF (-25 %)</x:v>
      </x:c>
      <x:c r="F637" s="52" t="n">
        <x:v>3.9</x:v>
      </x:c>
      <x:c r="G637" s="52" t="n">
        <x:v>5.9</x:v>
      </x:c>
      <x:c r="H637" s="60" t="n">
        <x:f>G637-F637</x:f>
        <x:v>2.0000000000000004</x:v>
      </x:c>
      <x:c r="I637" s="50" t="str">
        <x:v>adult-liberte-nationale</x:v>
      </x:c>
      <x:c r="J637" s="50" t="str">
        <x:v>seyssel-corbonod|bellegarde-sur-valserine</x:v>
      </x:c>
    </x:row>
    <x:row r="638">
      <x:c r="A638" s="50" t="str">
        <x:v>Seyssel – Corbonod</x:v>
      </x:c>
      <x:c r="B638" s="50" t="str">
        <x:v>Bellegarde-sur-Valserine</x:v>
      </x:c>
      <x:c r="C638" s="51" t="n">
        <x:v>19</x:v>
      </x:c>
      <x:c r="D638" s="50" t="str">
        <x:v>Adulte</x:v>
      </x:c>
      <x:c r="E638" s="50" t="str">
        <x:v>Carte Familles Nombreuses (-30 %)</x:v>
      </x:c>
      <x:c r="F638" s="52" t="n">
        <x:v>3</x:v>
      </x:c>
      <x:c r="G638" s="52" t="n">
        <x:v>5.1</x:v>
      </x:c>
      <x:c r="H638" s="60" t="n">
        <x:f>G638-F638</x:f>
        <x:v>2.0999999999999996</x:v>
      </x:c>
      <x:c r="I638" s="50" t="str">
        <x:v>adult-famille-nombreuse-30</x:v>
      </x:c>
      <x:c r="J638" s="50" t="str">
        <x:v>seyssel-corbonod|bellegarde-sur-valserine</x:v>
      </x:c>
    </x:row>
    <x:row r="639">
      <x:c r="A639" s="50" t="str">
        <x:v>Seyssel – Corbonod</x:v>
      </x:c>
      <x:c r="B639" s="50" t="str">
        <x:v>Bellegarde-sur-Valserine</x:v>
      </x:c>
      <x:c r="C639" s="51" t="n">
        <x:v>19</x:v>
      </x:c>
      <x:c r="D639" s="50" t="str">
        <x:v>Adulte</x:v>
      </x:c>
      <x:c r="E639" s="50" t="str">
        <x:v>Carte Familles Nombreuses (-40 %)</x:v>
      </x:c>
      <x:c r="F639" s="52" t="n">
        <x:v>2.6</x:v>
      </x:c>
      <x:c r="G639" s="52" t="n">
        <x:v>4.7</x:v>
      </x:c>
      <x:c r="H639" s="60" t="n">
        <x:f>G639-F639</x:f>
        <x:v>2.1</x:v>
      </x:c>
      <x:c r="I639" s="50" t="str">
        <x:v>adult-famille-nombreuse-40</x:v>
      </x:c>
      <x:c r="J639" s="50" t="str">
        <x:v>seyssel-corbonod|bellegarde-sur-valserine</x:v>
      </x:c>
    </x:row>
    <x:row r="640">
      <x:c r="A640" s="50" t="str">
        <x:v>Seyssel – Corbonod</x:v>
      </x:c>
      <x:c r="B640" s="50" t="str">
        <x:v>Bellegarde-sur-Valserine</x:v>
      </x:c>
      <x:c r="C640" s="51" t="n">
        <x:v>19</x:v>
      </x:c>
      <x:c r="D640" s="50" t="str">
        <x:v>Adulte</x:v>
      </x:c>
      <x:c r="E640" s="50" t="str">
        <x:v>Carte Familles Nombreuses (-50 %)</x:v>
      </x:c>
      <x:c r="F640" s="52" t="n">
        <x:v>2.1</x:v>
      </x:c>
      <x:c r="G640" s="52" t="n">
        <x:v>4.2</x:v>
      </x:c>
      <x:c r="H640" s="60" t="n">
        <x:f>G640-F640</x:f>
        <x:v>2.1</x:v>
      </x:c>
      <x:c r="I640" s="50" t="str">
        <x:v>adult-famille-nombreuse-50</x:v>
      </x:c>
      <x:c r="J640" s="50" t="str">
        <x:v>seyssel-corbonod|bellegarde-sur-valserine</x:v>
      </x:c>
    </x:row>
    <x:row r="641">
      <x:c r="A641" s="50" t="str">
        <x:v>Seyssel – Corbonod</x:v>
      </x:c>
      <x:c r="B641" s="50" t="str">
        <x:v>Bellegarde-sur-Valserine</x:v>
      </x:c>
      <x:c r="C641" s="51" t="n">
        <x:v>19</x:v>
      </x:c>
      <x:c r="D641" s="50" t="str">
        <x:v>Adulte</x:v>
      </x:c>
      <x:c r="E641" s="50" t="str">
        <x:v>Carte Familles Nombreuses (-75 %)</x:v>
      </x:c>
      <x:c r="F641" s="52" t="n">
        <x:v>1.2</x:v>
      </x:c>
      <x:c r="G641" s="52" t="n">
        <x:v>3.2</x:v>
      </x:c>
      <x:c r="H641" s="60" t="n">
        <x:f>G641-F641</x:f>
        <x:v>2</x:v>
      </x:c>
      <x:c r="I641" s="50" t="str">
        <x:v>adult-famille-nombreuse-75</x:v>
      </x:c>
      <x:c r="J641" s="50" t="str">
        <x:v>seyssel-corbonod|bellegarde-sur-valserine</x:v>
      </x:c>
    </x:row>
    <x:row r="642">
      <x:c r="A642" s="50" t="str">
        <x:v>Seyssel – Corbonod</x:v>
      </x:c>
      <x:c r="B642" s="50" t="str">
        <x:v>Bellegarde-sur-Valserine</x:v>
      </x:c>
      <x:c r="C642" s="51" t="n">
        <x:v>19</x:v>
      </x:c>
      <x:c r="D642" s="50" t="str">
        <x:v>Adulte</x:v>
      </x:c>
      <x:c r="E642" s="50" t="str">
        <x:v>Carte Militaire (-75 %)</x:v>
      </x:c>
      <x:c r="F642" s="52" t="n">
        <x:v>1.2</x:v>
      </x:c>
      <x:c r="G642" s="52" t="n">
        <x:v>3.2</x:v>
      </x:c>
      <x:c r="H642" s="60" t="n">
        <x:f>G642-F642</x:f>
        <x:v>2</x:v>
      </x:c>
      <x:c r="I642" s="50" t="str">
        <x:v>adult-military</x:v>
      </x:c>
      <x:c r="J642" s="50" t="str">
        <x:v>seyssel-corbonod|bellegarde-sur-valserine</x:v>
      </x:c>
    </x:row>
    <x:row r="643">
      <x:c r="A643" s="50" t="str">
        <x:v>Seyssel – Corbonod</x:v>
      </x:c>
      <x:c r="B643" s="50" t="str">
        <x:v>Bellegarde-sur-Valserine</x:v>
      </x:c>
      <x:c r="C643" s="51" t="n">
        <x:v>19</x:v>
      </x:c>
      <x:c r="D643" s="50" t="str">
        <x:v>Adulte</x:v>
      </x:c>
      <x:c r="E643" s="50" t="str">
        <x:v>Carte Famille Militaire (-40 %)</x:v>
      </x:c>
      <x:c r="F643" s="52" t="n">
        <x:v>3.1</x:v>
      </x:c>
      <x:c r="G643" s="52" t="n">
        <x:v>4.7</x:v>
      </x:c>
      <x:c r="H643" s="60" t="n">
        <x:f>G643-F643</x:f>
        <x:v>1.6</x:v>
      </x:c>
      <x:c r="I643" s="50" t="str">
        <x:v>adult-family-military</x:v>
      </x:c>
      <x:c r="J643" s="50" t="str">
        <x:v>seyssel-corbonod|bellegarde-sur-valserine</x:v>
      </x:c>
    </x:row>
    <x:row r="644">
      <x:c r="A644" s="50" t="str">
        <x:v>Seyssel – Corbonod</x:v>
      </x:c>
      <x:c r="B644" s="50" t="str">
        <x:v>Bellegarde-sur-Valserine</x:v>
      </x:c>
      <x:c r="C644" s="51" t="n">
        <x:v>19</x:v>
      </x:c>
      <x:c r="D644" s="50" t="str">
        <x:v>Enfant 4–11 ans</x:v>
      </x:c>
      <x:c r="E644" s="50" t="str">
        <x:v>Aucune — Tarif Enfant 4–11 ans</x:v>
      </x:c>
      <x:c r="F644" s="52" t="n">
        <x:v>2.6</x:v>
      </x:c>
      <x:c r="G644" s="52" t="n">
        <x:v>3.9</x:v>
      </x:c>
      <x:c r="H644" s="60" t="n">
        <x:f>G644-F644</x:f>
        <x:v>1.2999999999999998</x:v>
      </x:c>
      <x:c r="I644" s="50" t="str">
        <x:v>child-none</x:v>
      </x:c>
      <x:c r="J644" s="50" t="str">
        <x:v>seyssel-corbonod|bellegarde-sur-valserine</x:v>
      </x:c>
    </x:row>
    <x:row r="645">
      <x:c r="A645" s="50" t="str">
        <x:v>Seyssel – Corbonod</x:v>
      </x:c>
      <x:c r="B645" s="50" t="str">
        <x:v>Bellegarde-sur-Valserine</x:v>
      </x:c>
      <x:c r="C645" s="51" t="n">
        <x:v>19</x:v>
      </x:c>
      <x:c r="D645" s="50" t="str">
        <x:v>Enfant 4–11 ans</x:v>
      </x:c>
      <x:c r="E645" s="50" t="str">
        <x:v>illico LIBERTÉ — Accompagnant, Week-end / Jour férié</x:v>
      </x:c>
      <x:c r="F645" s="52" t="n">
        <x:v>1.3</x:v>
      </x:c>
      <x:c r="G645" s="52" t="n">
        <x:v>2</x:v>
      </x:c>
      <x:c r="H645" s="60" t="n">
        <x:f>G645-F645</x:f>
        <x:v>0.7</x:v>
      </x:c>
      <x:c r="I645" s="50" t="str">
        <x:v>child-illico-liberte-weekend-companion</x:v>
      </x:c>
      <x:c r="J645" s="50" t="str">
        <x:v>seyssel-corbonod|bellegarde-sur-valserine</x:v>
      </x:c>
    </x:row>
    <x:row r="646">
      <x:c r="A646" s="50" t="str">
        <x:v>Seyssel – Corbonod</x:v>
      </x:c>
      <x:c r="B646" s="50" t="str">
        <x:v>Bellegarde-sur-Valserine</x:v>
      </x:c>
      <x:c r="C646" s="51" t="n">
        <x:v>19</x:v>
      </x:c>
      <x:c r="D646" s="50" t="str">
        <x:v>Enfant 4–11 ans</x:v>
      </x:c>
      <x:c r="E646" s="50" t="str">
        <x:v>Carte Famille Militaire</x:v>
      </x:c>
      <x:c r="F646" s="52" t="n">
        <x:v>1.6</x:v>
      </x:c>
      <x:c r="G646" s="52" t="n">
        <x:v>2.4</x:v>
      </x:c>
      <x:c r="H646" s="60" t="n">
        <x:f>G646-F646</x:f>
        <x:v>0.7999999999999998</x:v>
      </x:c>
      <x:c r="I646" s="50" t="str">
        <x:v>child-family-military</x:v>
      </x:c>
      <x:c r="J646" s="50" t="str">
        <x:v>seyssel-corbonod|bellegarde-sur-valserine</x:v>
      </x:c>
    </x:row>
    <x:row r="647">
      <x:c r="A647" s="50" t="str">
        <x:v>Seyssel – Corbonod</x:v>
      </x:c>
      <x:c r="B647" s="50" t="str">
        <x:v>Bellegarde-sur-Valserine</x:v>
      </x:c>
      <x:c r="C647" s="51" t="n">
        <x:v>19</x:v>
      </x:c>
      <x:c r="D647" s="50" t="str">
        <x:v>Enfant 4–11 ans</x:v>
      </x:c>
      <x:c r="E647" s="50" t="str">
        <x:v>Carte Familles Nombreuses (-30 %)</x:v>
      </x:c>
      <x:c r="F647" s="52" t="n">
        <x:v>1.5</x:v>
      </x:c>
      <x:c r="G647" s="52" t="n">
        <x:v>2.6</x:v>
      </x:c>
      <x:c r="H647" s="60" t="n">
        <x:f>G647-F647</x:f>
        <x:v>1.1</x:v>
      </x:c>
      <x:c r="I647" s="50" t="str">
        <x:v>child-famille-nombreuse-30</x:v>
      </x:c>
      <x:c r="J647" s="50" t="str">
        <x:v>seyssel-corbonod|bellegarde-sur-valserine</x:v>
      </x:c>
    </x:row>
    <x:row r="648">
      <x:c r="A648" s="50" t="str">
        <x:v>Seyssel – Corbonod</x:v>
      </x:c>
      <x:c r="B648" s="50" t="str">
        <x:v>Bellegarde-sur-Valserine</x:v>
      </x:c>
      <x:c r="C648" s="51" t="n">
        <x:v>19</x:v>
      </x:c>
      <x:c r="D648" s="50" t="str">
        <x:v>Enfant 4–11 ans</x:v>
      </x:c>
      <x:c r="E648" s="50" t="str">
        <x:v>Carte Familles Nombreuses (-40 %)</x:v>
      </x:c>
      <x:c r="F648" s="52" t="n">
        <x:v>1.3</x:v>
      </x:c>
      <x:c r="G648" s="52" t="n">
        <x:v>2.4</x:v>
      </x:c>
      <x:c r="H648" s="60" t="n">
        <x:f>G648-F648</x:f>
        <x:v>1.0999999999999999</x:v>
      </x:c>
      <x:c r="I648" s="50" t="str">
        <x:v>child-famille-nombreuse-40</x:v>
      </x:c>
      <x:c r="J648" s="50" t="str">
        <x:v>seyssel-corbonod|bellegarde-sur-valserine</x:v>
      </x:c>
    </x:row>
    <x:row r="649">
      <x:c r="A649" s="50" t="str">
        <x:v>Seyssel – Corbonod</x:v>
      </x:c>
      <x:c r="B649" s="50" t="str">
        <x:v>Bellegarde-sur-Valserine</x:v>
      </x:c>
      <x:c r="C649" s="51" t="n">
        <x:v>19</x:v>
      </x:c>
      <x:c r="D649" s="50" t="str">
        <x:v>Enfant 4–11 ans</x:v>
      </x:c>
      <x:c r="E649" s="50" t="str">
        <x:v>Carte Familles Nombreuses (-50 %)</x:v>
      </x:c>
      <x:c r="F649" s="52" t="n">
        <x:v>1.2</x:v>
      </x:c>
      <x:c r="G649" s="52" t="n">
        <x:v>2.1</x:v>
      </x:c>
      <x:c r="H649" s="60" t="n">
        <x:f>G649-F649</x:f>
        <x:v>0.9000000000000001</x:v>
      </x:c>
      <x:c r="I649" s="50" t="str">
        <x:v>child-famille-nombreuse-50</x:v>
      </x:c>
      <x:c r="J649" s="50" t="str">
        <x:v>seyssel-corbonod|bellegarde-sur-valserine</x:v>
      </x:c>
    </x:row>
    <x:row r="650">
      <x:c r="A650" s="50" t="str">
        <x:v>Seyssel – Corbonod</x:v>
      </x:c>
      <x:c r="B650" s="50" t="str">
        <x:v>Bellegarde-sur-Valserine</x:v>
      </x:c>
      <x:c r="C650" s="51" t="n">
        <x:v>19</x:v>
      </x:c>
      <x:c r="D650" s="50" t="str">
        <x:v>Enfant 4–11 ans</x:v>
      </x:c>
      <x:c r="E650" s="50" t="str">
        <x:v>Carte Familles Nombreuses (-75 %)</x:v>
      </x:c>
      <x:c r="F650" s="52" t="n">
        <x:v>1.2</x:v>
      </x:c>
      <x:c r="G650" s="52" t="n">
        <x:v>1.6</x:v>
      </x:c>
      <x:c r="H650" s="60" t="n">
        <x:f>G650-F650</x:f>
        <x:v>0.40000000000000013</x:v>
      </x:c>
      <x:c r="I650" s="50" t="str">
        <x:v>child-famille-nombreuse-75</x:v>
      </x:c>
      <x:c r="J650" s="50" t="str">
        <x:v>seyssel-corbonod|bellegarde-sur-valserine</x:v>
      </x:c>
    </x:row>
    <x:row r="651">
      <x:c r="A651" s="50" t="str">
        <x:v>Seyssel – Corbonod</x:v>
      </x:c>
      <x:c r="B651" s="50" t="str">
        <x:v>Genève</x:v>
      </x:c>
      <x:c r="C651" s="51" t="n">
        <x:v>61</x:v>
      </x:c>
      <x:c r="D651" s="50" t="str">
        <x:v>Adulte</x:v>
      </x:c>
      <x:c r="E651" s="50" t="str">
        <x:v>Aucune — Plein tarif</x:v>
      </x:c>
      <x:c r="F651" s="52" t="n">
        <x:v>12.6</x:v>
      </x:c>
      <x:c r="G651" s="52" t="n">
        <x:v>19.1</x:v>
      </x:c>
      <x:c r="H651" s="60" t="n">
        <x:f>G651-F651</x:f>
        <x:v>6.500000000000002</x:v>
      </x:c>
      <x:c r="I651" s="50" t="str">
        <x:v>adult-none</x:v>
      </x:c>
      <x:c r="J651" s="50" t="str">
        <x:v>seyssel-corbonod|geneve</x:v>
      </x:c>
    </x:row>
    <x:row r="652">
      <x:c r="A652" s="50" t="str">
        <x:v>Seyssel – Corbonod</x:v>
      </x:c>
      <x:c r="B652" s="50" t="str">
        <x:v>Genève</x:v>
      </x:c>
      <x:c r="C652" s="51" t="n">
        <x:v>61</x:v>
      </x:c>
      <x:c r="D652" s="50" t="str">
        <x:v>Adulte</x:v>
      </x:c>
      <x:c r="E652" s="50" t="str">
        <x:v>illico LIBERTÉ — Semaine (-25 %)</x:v>
      </x:c>
      <x:c r="F652" s="52" t="n">
        <x:v>9.5</x:v>
      </x:c>
      <x:c r="G652" s="52" t="n">
        <x:v>14.4</x:v>
      </x:c>
      <x:c r="H652" s="60" t="n">
        <x:f>G652-F652</x:f>
        <x:v>4.9</x:v>
      </x:c>
      <x:c r="I652" s="50" t="str">
        <x:v>adult-illico-liberte-weekday</x:v>
      </x:c>
      <x:c r="J652" s="50" t="str">
        <x:v>seyssel-corbonod|geneve</x:v>
      </x:c>
    </x:row>
    <x:row r="653">
      <x:c r="A653" s="50" t="str">
        <x:v>Seyssel – Corbonod</x:v>
      </x:c>
      <x:c r="B653" s="50" t="str">
        <x:v>Genève</x:v>
      </x:c>
      <x:c r="C653" s="51" t="n">
        <x:v>61</x:v>
      </x:c>
      <x:c r="D653" s="50" t="str">
        <x:v>Adulte</x:v>
      </x:c>
      <x:c r="E653" s="50" t="str">
        <x:v>illico LIBERTÉ — Week-end / Jour férié (-50 %)</x:v>
      </x:c>
      <x:c r="F653" s="52" t="n">
        <x:v>6.3</x:v>
      </x:c>
      <x:c r="G653" s="52" t="n">
        <x:v>9.6</x:v>
      </x:c>
      <x:c r="H653" s="60" t="n">
        <x:f>G653-F653</x:f>
        <x:v>3.3</x:v>
      </x:c>
      <x:c r="I653" s="50" t="str">
        <x:v>adult-illico-liberte-weekend</x:v>
      </x:c>
      <x:c r="J653" s="50" t="str">
        <x:v>seyssel-corbonod|geneve</x:v>
      </x:c>
    </x:row>
    <x:row r="654">
      <x:c r="A654" s="50" t="str">
        <x:v>Seyssel – Corbonod</x:v>
      </x:c>
      <x:c r="B654" s="50" t="str">
        <x:v>Genève</x:v>
      </x:c>
      <x:c r="C654" s="51" t="n">
        <x:v>61</x:v>
      </x:c>
      <x:c r="D654" s="50" t="str">
        <x:v>Adulte</x:v>
      </x:c>
      <x:c r="E654" s="50" t="str">
        <x:v>illico LIBERTÉ — Accompagnant, Week-end / Jour férié (-50 %)</x:v>
      </x:c>
      <x:c r="F654" s="52" t="n">
        <x:v>6.3</x:v>
      </x:c>
      <x:c r="G654" s="52" t="n">
        <x:v>9.6</x:v>
      </x:c>
      <x:c r="H654" s="60" t="n">
        <x:f>G654-F654</x:f>
        <x:v>3.3</x:v>
      </x:c>
      <x:c r="I654" s="50" t="str">
        <x:v>adult-illico-liberte-weekend-companion</x:v>
      </x:c>
      <x:c r="J654" s="50" t="str">
        <x:v>seyssel-corbonod|geneve</x:v>
      </x:c>
    </x:row>
    <x:row r="655">
      <x:c r="A655" s="50" t="str">
        <x:v>Seyssel – Corbonod</x:v>
      </x:c>
      <x:c r="B655" s="50" t="str">
        <x:v>Genève</x:v>
      </x:c>
      <x:c r="C655" s="51" t="n">
        <x:v>61</x:v>
      </x:c>
      <x:c r="D655" s="50" t="str">
        <x:v>Adulte</x:v>
      </x:c>
      <x:c r="E655" s="50" t="str">
        <x:v>illico LIBERTÉ JEUNES (-50 %)</x:v>
      </x:c>
      <x:c r="F655" s="52" t="n">
        <x:v>6.3</x:v>
      </x:c>
      <x:c r="G655" s="52" t="n">
        <x:v>9.6</x:v>
      </x:c>
      <x:c r="H655" s="60" t="n">
        <x:f>G655-F655</x:f>
        <x:v>3.3</x:v>
      </x:c>
      <x:c r="I655" s="50" t="str">
        <x:v>adult-illico-jeunes</x:v>
      </x:c>
      <x:c r="J655" s="50" t="str">
        <x:v>seyssel-corbonod|geneve</x:v>
      </x:c>
    </x:row>
    <x:row r="656">
      <x:c r="A656" s="50" t="str">
        <x:v>Seyssel – Corbonod</x:v>
      </x:c>
      <x:c r="B656" s="50" t="str">
        <x:v>Genève</x:v>
      </x:c>
      <x:c r="C656" s="51" t="n">
        <x:v>61</x:v>
      </x:c>
      <x:c r="D656" s="50" t="str">
        <x:v>Adulte</x:v>
      </x:c>
      <x:c r="E656" s="50" t="str">
        <x:v>Carte Liberté SNCF (-25 %)</x:v>
      </x:c>
      <x:c r="F656" s="52" t="n">
        <x:v>9.5</x:v>
      </x:c>
      <x:c r="G656" s="52" t="n">
        <x:v>14.4</x:v>
      </x:c>
      <x:c r="H656" s="60" t="n">
        <x:f>G656-F656</x:f>
        <x:v>4.9</x:v>
      </x:c>
      <x:c r="I656" s="50" t="str">
        <x:v>adult-liberte-nationale</x:v>
      </x:c>
      <x:c r="J656" s="50" t="str">
        <x:v>seyssel-corbonod|geneve</x:v>
      </x:c>
    </x:row>
    <x:row r="657">
      <x:c r="A657" s="50" t="str">
        <x:v>Seyssel – Corbonod</x:v>
      </x:c>
      <x:c r="B657" s="50" t="str">
        <x:v>Genève</x:v>
      </x:c>
      <x:c r="C657" s="51" t="n">
        <x:v>61</x:v>
      </x:c>
      <x:c r="D657" s="50" t="str">
        <x:v>Adulte</x:v>
      </x:c>
      <x:c r="E657" s="50" t="str">
        <x:v>Carte Familles Nombreuses (-30 %)</x:v>
      </x:c>
      <x:c r="F657" s="52" t="n">
        <x:v>7.3</x:v>
      </x:c>
      <x:c r="G657" s="52" t="n">
        <x:v>12.4</x:v>
      </x:c>
      <x:c r="H657" s="60" t="n">
        <x:f>G657-F657</x:f>
        <x:v>5.1000000000000005</x:v>
      </x:c>
      <x:c r="I657" s="50" t="str">
        <x:v>adult-famille-nombreuse-30</x:v>
      </x:c>
      <x:c r="J657" s="50" t="str">
        <x:v>seyssel-corbonod|geneve</x:v>
      </x:c>
    </x:row>
    <x:row r="658">
      <x:c r="A658" s="50" t="str">
        <x:v>Seyssel – Corbonod</x:v>
      </x:c>
      <x:c r="B658" s="50" t="str">
        <x:v>Genève</x:v>
      </x:c>
      <x:c r="C658" s="51" t="n">
        <x:v>61</x:v>
      </x:c>
      <x:c r="D658" s="50" t="str">
        <x:v>Adulte</x:v>
      </x:c>
      <x:c r="E658" s="50" t="str">
        <x:v>Carte Familles Nombreuses (-40 %)</x:v>
      </x:c>
      <x:c r="F658" s="52" t="n">
        <x:v>6.2</x:v>
      </x:c>
      <x:c r="G658" s="52" t="n">
        <x:v>11.3</x:v>
      </x:c>
      <x:c r="H658" s="60" t="n">
        <x:f>G658-F658</x:f>
        <x:v>5.1000000000000005</x:v>
      </x:c>
      <x:c r="I658" s="50" t="str">
        <x:v>adult-famille-nombreuse-40</x:v>
      </x:c>
      <x:c r="J658" s="50" t="str">
        <x:v>seyssel-corbonod|geneve</x:v>
      </x:c>
    </x:row>
    <x:row r="659">
      <x:c r="A659" s="50" t="str">
        <x:v>Seyssel – Corbonod</x:v>
      </x:c>
      <x:c r="B659" s="50" t="str">
        <x:v>Genève</x:v>
      </x:c>
      <x:c r="C659" s="51" t="n">
        <x:v>61</x:v>
      </x:c>
      <x:c r="D659" s="50" t="str">
        <x:v>Adulte</x:v>
      </x:c>
      <x:c r="E659" s="50" t="str">
        <x:v>Carte Familles Nombreuses (-50 %)</x:v>
      </x:c>
      <x:c r="F659" s="52" t="n">
        <x:v>5.2</x:v>
      </x:c>
      <x:c r="G659" s="52" t="n">
        <x:v>10.3</x:v>
      </x:c>
      <x:c r="H659" s="60" t="n">
        <x:f>G659-F659</x:f>
        <x:v>5.1000000000000005</x:v>
      </x:c>
      <x:c r="I659" s="50" t="str">
        <x:v>adult-famille-nombreuse-50</x:v>
      </x:c>
      <x:c r="J659" s="50" t="str">
        <x:v>seyssel-corbonod|geneve</x:v>
      </x:c>
    </x:row>
    <x:row r="660">
      <x:c r="A660" s="50" t="str">
        <x:v>Seyssel – Corbonod</x:v>
      </x:c>
      <x:c r="B660" s="50" t="str">
        <x:v>Genève</x:v>
      </x:c>
      <x:c r="C660" s="51" t="n">
        <x:v>61</x:v>
      </x:c>
      <x:c r="D660" s="50" t="str">
        <x:v>Adulte</x:v>
      </x:c>
      <x:c r="E660" s="50" t="str">
        <x:v>Carte Familles Nombreuses (-75 %)</x:v>
      </x:c>
      <x:c r="F660" s="52" t="n">
        <x:v>2.6</x:v>
      </x:c>
      <x:c r="G660" s="52" t="n">
        <x:v>7.7</x:v>
      </x:c>
      <x:c r="H660" s="60" t="n">
        <x:f>G660-F660</x:f>
        <x:v>5.1</x:v>
      </x:c>
      <x:c r="I660" s="50" t="str">
        <x:v>adult-famille-nombreuse-75</x:v>
      </x:c>
      <x:c r="J660" s="50" t="str">
        <x:v>seyssel-corbonod|geneve</x:v>
      </x:c>
    </x:row>
    <x:row r="661">
      <x:c r="A661" s="50" t="str">
        <x:v>Seyssel – Corbonod</x:v>
      </x:c>
      <x:c r="B661" s="50" t="str">
        <x:v>Genève</x:v>
      </x:c>
      <x:c r="C661" s="51" t="n">
        <x:v>61</x:v>
      </x:c>
      <x:c r="D661" s="50" t="str">
        <x:v>Adulte</x:v>
      </x:c>
      <x:c r="E661" s="50" t="str">
        <x:v>Carte Militaire (-75 %)</x:v>
      </x:c>
      <x:c r="F661" s="52" t="n">
        <x:v>2.6</x:v>
      </x:c>
      <x:c r="G661" s="52" t="n">
        <x:v>7.7</x:v>
      </x:c>
      <x:c r="H661" s="60" t="n">
        <x:f>G661-F661</x:f>
        <x:v>5.1</x:v>
      </x:c>
      <x:c r="I661" s="50" t="str">
        <x:v>adult-military</x:v>
      </x:c>
      <x:c r="J661" s="50" t="str">
        <x:v>seyssel-corbonod|geneve</x:v>
      </x:c>
    </x:row>
    <x:row r="662">
      <x:c r="A662" s="50" t="str">
        <x:v>Seyssel – Corbonod</x:v>
      </x:c>
      <x:c r="B662" s="50" t="str">
        <x:v>Genève</x:v>
      </x:c>
      <x:c r="C662" s="51" t="n">
        <x:v>61</x:v>
      </x:c>
      <x:c r="D662" s="50" t="str">
        <x:v>Adulte</x:v>
      </x:c>
      <x:c r="E662" s="50" t="str">
        <x:v>Carte Famille Militaire (-40 %)</x:v>
      </x:c>
      <x:c r="F662" s="52" t="n">
        <x:v>7.6</x:v>
      </x:c>
      <x:c r="G662" s="52" t="n">
        <x:v>11.5</x:v>
      </x:c>
      <x:c r="H662" s="60" t="n">
        <x:f>G662-F662</x:f>
        <x:v>3.9000000000000004</x:v>
      </x:c>
      <x:c r="I662" s="50" t="str">
        <x:v>adult-family-military</x:v>
      </x:c>
      <x:c r="J662" s="50" t="str">
        <x:v>seyssel-corbonod|geneve</x:v>
      </x:c>
    </x:row>
    <x:row r="663">
      <x:c r="A663" s="50" t="str">
        <x:v>Seyssel – Corbonod</x:v>
      </x:c>
      <x:c r="B663" s="50" t="str">
        <x:v>Genève</x:v>
      </x:c>
      <x:c r="C663" s="51" t="n">
        <x:v>61</x:v>
      </x:c>
      <x:c r="D663" s="50" t="str">
        <x:v>Enfant 4–11 ans</x:v>
      </x:c>
      <x:c r="E663" s="50" t="str">
        <x:v>Aucune — Tarif Enfant 4–11 ans</x:v>
      </x:c>
      <x:c r="F663" s="52" t="n">
        <x:v>6.3</x:v>
      </x:c>
      <x:c r="G663" s="52" t="n">
        <x:v>9.6</x:v>
      </x:c>
      <x:c r="H663" s="60" t="n">
        <x:f>G663-F663</x:f>
        <x:v>3.3</x:v>
      </x:c>
      <x:c r="I663" s="50" t="str">
        <x:v>child-none</x:v>
      </x:c>
      <x:c r="J663" s="50" t="str">
        <x:v>seyssel-corbonod|geneve</x:v>
      </x:c>
    </x:row>
    <x:row r="664">
      <x:c r="A664" s="50" t="str">
        <x:v>Seyssel – Corbonod</x:v>
      </x:c>
      <x:c r="B664" s="50" t="str">
        <x:v>Genève</x:v>
      </x:c>
      <x:c r="C664" s="51" t="n">
        <x:v>61</x:v>
      </x:c>
      <x:c r="D664" s="50" t="str">
        <x:v>Enfant 4–11 ans</x:v>
      </x:c>
      <x:c r="E664" s="50" t="str">
        <x:v>illico LIBERTÉ — Accompagnant, Week-end / Jour férié</x:v>
      </x:c>
      <x:c r="F664" s="52" t="n">
        <x:v>3.2</x:v>
      </x:c>
      <x:c r="G664" s="52" t="n">
        <x:v>4.8</x:v>
      </x:c>
      <x:c r="H664" s="60" t="n">
        <x:f>G664-F664</x:f>
        <x:v>1.5999999999999996</x:v>
      </x:c>
      <x:c r="I664" s="50" t="str">
        <x:v>child-illico-liberte-weekend-companion</x:v>
      </x:c>
      <x:c r="J664" s="50" t="str">
        <x:v>seyssel-corbonod|geneve</x:v>
      </x:c>
    </x:row>
    <x:row r="665">
      <x:c r="A665" s="50" t="str">
        <x:v>Seyssel – Corbonod</x:v>
      </x:c>
      <x:c r="B665" s="50" t="str">
        <x:v>Genève</x:v>
      </x:c>
      <x:c r="C665" s="51" t="n">
        <x:v>61</x:v>
      </x:c>
      <x:c r="D665" s="50" t="str">
        <x:v>Enfant 4–11 ans</x:v>
      </x:c>
      <x:c r="E665" s="50" t="str">
        <x:v>Carte Famille Militaire</x:v>
      </x:c>
      <x:c r="F665" s="52" t="n">
        <x:v>3.8</x:v>
      </x:c>
      <x:c r="G665" s="52" t="n">
        <x:v>5.8</x:v>
      </x:c>
      <x:c r="H665" s="60" t="n">
        <x:f>G665-F665</x:f>
        <x:v>2</x:v>
      </x:c>
      <x:c r="I665" s="50" t="str">
        <x:v>child-family-military</x:v>
      </x:c>
      <x:c r="J665" s="50" t="str">
        <x:v>seyssel-corbonod|geneve</x:v>
      </x:c>
    </x:row>
    <x:row r="666">
      <x:c r="A666" s="50" t="str">
        <x:v>Seyssel – Corbonod</x:v>
      </x:c>
      <x:c r="B666" s="50" t="str">
        <x:v>Genève</x:v>
      </x:c>
      <x:c r="C666" s="51" t="n">
        <x:v>61</x:v>
      </x:c>
      <x:c r="D666" s="50" t="str">
        <x:v>Enfant 4–11 ans</x:v>
      </x:c>
      <x:c r="E666" s="50" t="str">
        <x:v>Carte Familles Nombreuses (-30 %)</x:v>
      </x:c>
      <x:c r="F666" s="52" t="n">
        <x:v>3.7</x:v>
      </x:c>
      <x:c r="G666" s="52" t="n">
        <x:v>6.2</x:v>
      </x:c>
      <x:c r="H666" s="60" t="n">
        <x:f>G666-F666</x:f>
        <x:v>2.5</x:v>
      </x:c>
      <x:c r="I666" s="50" t="str">
        <x:v>child-famille-nombreuse-30</x:v>
      </x:c>
      <x:c r="J666" s="50" t="str">
        <x:v>seyssel-corbonod|geneve</x:v>
      </x:c>
    </x:row>
    <x:row r="667">
      <x:c r="A667" s="50" t="str">
        <x:v>Seyssel – Corbonod</x:v>
      </x:c>
      <x:c r="B667" s="50" t="str">
        <x:v>Genève</x:v>
      </x:c>
      <x:c r="C667" s="51" t="n">
        <x:v>61</x:v>
      </x:c>
      <x:c r="D667" s="50" t="str">
        <x:v>Enfant 4–11 ans</x:v>
      </x:c>
      <x:c r="E667" s="50" t="str">
        <x:v>Carte Familles Nombreuses (-40 %)</x:v>
      </x:c>
      <x:c r="F667" s="52" t="n">
        <x:v>3.1</x:v>
      </x:c>
      <x:c r="G667" s="52" t="n">
        <x:v>5.7</x:v>
      </x:c>
      <x:c r="H667" s="60" t="n">
        <x:f>G667-F667</x:f>
        <x:v>2.6</x:v>
      </x:c>
      <x:c r="I667" s="50" t="str">
        <x:v>child-famille-nombreuse-40</x:v>
      </x:c>
      <x:c r="J667" s="50" t="str">
        <x:v>seyssel-corbonod|geneve</x:v>
      </x:c>
    </x:row>
    <x:row r="668">
      <x:c r="A668" s="50" t="str">
        <x:v>Seyssel – Corbonod</x:v>
      </x:c>
      <x:c r="B668" s="50" t="str">
        <x:v>Genève</x:v>
      </x:c>
      <x:c r="C668" s="51" t="n">
        <x:v>61</x:v>
      </x:c>
      <x:c r="D668" s="50" t="str">
        <x:v>Enfant 4–11 ans</x:v>
      </x:c>
      <x:c r="E668" s="50" t="str">
        <x:v>Carte Familles Nombreuses (-50 %)</x:v>
      </x:c>
      <x:c r="F668" s="52" t="n">
        <x:v>2.6</x:v>
      </x:c>
      <x:c r="G668" s="52" t="n">
        <x:v>5.2</x:v>
      </x:c>
      <x:c r="H668" s="60" t="n">
        <x:f>G668-F668</x:f>
        <x:v>2.6</x:v>
      </x:c>
      <x:c r="I668" s="50" t="str">
        <x:v>child-famille-nombreuse-50</x:v>
      </x:c>
      <x:c r="J668" s="50" t="str">
        <x:v>seyssel-corbonod|geneve</x:v>
      </x:c>
    </x:row>
    <x:row r="669">
      <x:c r="A669" s="50" t="str">
        <x:v>Seyssel – Corbonod</x:v>
      </x:c>
      <x:c r="B669" s="50" t="str">
        <x:v>Genève</x:v>
      </x:c>
      <x:c r="C669" s="51" t="n">
        <x:v>61</x:v>
      </x:c>
      <x:c r="D669" s="50" t="str">
        <x:v>Enfant 4–11 ans</x:v>
      </x:c>
      <x:c r="E669" s="50" t="str">
        <x:v>Carte Familles Nombreuses (-75 %)</x:v>
      </x:c>
      <x:c r="F669" s="52" t="n">
        <x:v>1.3</x:v>
      </x:c>
      <x:c r="G669" s="52" t="n">
        <x:v>3.9</x:v>
      </x:c>
      <x:c r="H669" s="60" t="n">
        <x:f>G669-F669</x:f>
        <x:v>2.5999999999999996</x:v>
      </x:c>
      <x:c r="I669" s="50" t="str">
        <x:v>child-famille-nombreuse-75</x:v>
      </x:c>
      <x:c r="J669" s="50" t="str">
        <x:v>seyssel-corbonod|geneve</x:v>
      </x:c>
    </x:row>
    <x:row r="670">
      <x:c r="A670" s="50" t="str">
        <x:v>Bellegarde-sur-Valserine</x:v>
      </x:c>
      <x:c r="B670" s="50" t="str">
        <x:v>Genève</x:v>
      </x:c>
      <x:c r="C670" s="51" t="n">
        <x:v>42</x:v>
      </x:c>
      <x:c r="D670" s="50" t="str">
        <x:v>Adulte</x:v>
      </x:c>
      <x:c r="E670" s="50" t="str">
        <x:v>Aucune — Plein tarif</x:v>
      </x:c>
      <x:c r="F670" s="52" t="n">
        <x:v>9</x:v>
      </x:c>
      <x:c r="G670" s="52" t="n">
        <x:v>13.7</x:v>
      </x:c>
      <x:c r="H670" s="60" t="n">
        <x:f>G670-F670</x:f>
        <x:v>4.699999999999999</x:v>
      </x:c>
      <x:c r="I670" s="50" t="str">
        <x:v>adult-none</x:v>
      </x:c>
      <x:c r="J670" s="50" t="str">
        <x:v>bellegarde-sur-valserine|geneve</x:v>
      </x:c>
    </x:row>
    <x:row r="671">
      <x:c r="A671" s="50" t="str">
        <x:v>Bellegarde-sur-Valserine</x:v>
      </x:c>
      <x:c r="B671" s="50" t="str">
        <x:v>Genève</x:v>
      </x:c>
      <x:c r="C671" s="51" t="n">
        <x:v>42</x:v>
      </x:c>
      <x:c r="D671" s="50" t="str">
        <x:v>Adulte</x:v>
      </x:c>
      <x:c r="E671" s="50" t="str">
        <x:v>illico LIBERTÉ — Semaine (-25 %)</x:v>
      </x:c>
      <x:c r="F671" s="52" t="n">
        <x:v>6.8</x:v>
      </x:c>
      <x:c r="G671" s="52" t="n">
        <x:v>10.3</x:v>
      </x:c>
      <x:c r="H671" s="60" t="n">
        <x:f>G671-F671</x:f>
        <x:v>3.500000000000001</x:v>
      </x:c>
      <x:c r="I671" s="50" t="str">
        <x:v>adult-illico-liberte-weekday</x:v>
      </x:c>
      <x:c r="J671" s="50" t="str">
        <x:v>bellegarde-sur-valserine|geneve</x:v>
      </x:c>
    </x:row>
    <x:row r="672">
      <x:c r="A672" s="50" t="str">
        <x:v>Bellegarde-sur-Valserine</x:v>
      </x:c>
      <x:c r="B672" s="50" t="str">
        <x:v>Genève</x:v>
      </x:c>
      <x:c r="C672" s="51" t="n">
        <x:v>42</x:v>
      </x:c>
      <x:c r="D672" s="50" t="str">
        <x:v>Adulte</x:v>
      </x:c>
      <x:c r="E672" s="50" t="str">
        <x:v>illico LIBERTÉ — Week-end / Jour férié (-50 %)</x:v>
      </x:c>
      <x:c r="F672" s="52" t="n">
        <x:v>4.5</x:v>
      </x:c>
      <x:c r="G672" s="52" t="n">
        <x:v>6.9</x:v>
      </x:c>
      <x:c r="H672" s="60" t="n">
        <x:f>G672-F672</x:f>
        <x:v>2.4000000000000004</x:v>
      </x:c>
      <x:c r="I672" s="50" t="str">
        <x:v>adult-illico-liberte-weekend</x:v>
      </x:c>
      <x:c r="J672" s="50" t="str">
        <x:v>bellegarde-sur-valserine|geneve</x:v>
      </x:c>
    </x:row>
    <x:row r="673">
      <x:c r="A673" s="50" t="str">
        <x:v>Bellegarde-sur-Valserine</x:v>
      </x:c>
      <x:c r="B673" s="50" t="str">
        <x:v>Genève</x:v>
      </x:c>
      <x:c r="C673" s="51" t="n">
        <x:v>42</x:v>
      </x:c>
      <x:c r="D673" s="50" t="str">
        <x:v>Adulte</x:v>
      </x:c>
      <x:c r="E673" s="50" t="str">
        <x:v>illico LIBERTÉ — Accompagnant, Week-end / Jour férié (-50 %)</x:v>
      </x:c>
      <x:c r="F673" s="52" t="n">
        <x:v>4.5</x:v>
      </x:c>
      <x:c r="G673" s="52" t="n">
        <x:v>6.9</x:v>
      </x:c>
      <x:c r="H673" s="60" t="n">
        <x:f>G673-F673</x:f>
        <x:v>2.4000000000000004</x:v>
      </x:c>
      <x:c r="I673" s="50" t="str">
        <x:v>adult-illico-liberte-weekend-companion</x:v>
      </x:c>
      <x:c r="J673" s="50" t="str">
        <x:v>bellegarde-sur-valserine|geneve</x:v>
      </x:c>
    </x:row>
    <x:row r="674">
      <x:c r="A674" s="50" t="str">
        <x:v>Bellegarde-sur-Valserine</x:v>
      </x:c>
      <x:c r="B674" s="50" t="str">
        <x:v>Genève</x:v>
      </x:c>
      <x:c r="C674" s="51" t="n">
        <x:v>42</x:v>
      </x:c>
      <x:c r="D674" s="50" t="str">
        <x:v>Adulte</x:v>
      </x:c>
      <x:c r="E674" s="50" t="str">
        <x:v>illico LIBERTÉ JEUNES (-50 %)</x:v>
      </x:c>
      <x:c r="F674" s="52" t="n">
        <x:v>4.5</x:v>
      </x:c>
      <x:c r="G674" s="52" t="n">
        <x:v>6.9</x:v>
      </x:c>
      <x:c r="H674" s="60" t="n">
        <x:f>G674-F674</x:f>
        <x:v>2.4000000000000004</x:v>
      </x:c>
      <x:c r="I674" s="50" t="str">
        <x:v>adult-illico-jeunes</x:v>
      </x:c>
      <x:c r="J674" s="50" t="str">
        <x:v>bellegarde-sur-valserine|geneve</x:v>
      </x:c>
    </x:row>
    <x:row r="675">
      <x:c r="A675" s="50" t="str">
        <x:v>Bellegarde-sur-Valserine</x:v>
      </x:c>
      <x:c r="B675" s="50" t="str">
        <x:v>Genève</x:v>
      </x:c>
      <x:c r="C675" s="51" t="n">
        <x:v>42</x:v>
      </x:c>
      <x:c r="D675" s="50" t="str">
        <x:v>Adulte</x:v>
      </x:c>
      <x:c r="E675" s="50" t="str">
        <x:v>Carte Liberté SNCF (-25 %)</x:v>
      </x:c>
      <x:c r="F675" s="52" t="n">
        <x:v>6.8</x:v>
      </x:c>
      <x:c r="G675" s="52" t="n">
        <x:v>10.3</x:v>
      </x:c>
      <x:c r="H675" s="60" t="n">
        <x:f>G675-F675</x:f>
        <x:v>3.500000000000001</x:v>
      </x:c>
      <x:c r="I675" s="50" t="str">
        <x:v>adult-liberte-nationale</x:v>
      </x:c>
      <x:c r="J675" s="50" t="str">
        <x:v>bellegarde-sur-valserine|geneve</x:v>
      </x:c>
    </x:row>
    <x:row r="676">
      <x:c r="A676" s="50" t="str">
        <x:v>Bellegarde-sur-Valserine</x:v>
      </x:c>
      <x:c r="B676" s="50" t="str">
        <x:v>Genève</x:v>
      </x:c>
      <x:c r="C676" s="51" t="n">
        <x:v>42</x:v>
      </x:c>
      <x:c r="D676" s="50" t="str">
        <x:v>Adulte</x:v>
      </x:c>
      <x:c r="E676" s="50" t="str">
        <x:v>Carte Familles Nombreuses (-30 %)</x:v>
      </x:c>
      <x:c r="F676" s="52" t="n">
        <x:v>5.2</x:v>
      </x:c>
      <x:c r="G676" s="52" t="n">
        <x:v>8.9</x:v>
      </x:c>
      <x:c r="H676" s="60" t="n">
        <x:f>G676-F676</x:f>
        <x:v>3.7</x:v>
      </x:c>
      <x:c r="I676" s="50" t="str">
        <x:v>adult-famille-nombreuse-30</x:v>
      </x:c>
      <x:c r="J676" s="50" t="str">
        <x:v>bellegarde-sur-valserine|geneve</x:v>
      </x:c>
    </x:row>
    <x:row r="677">
      <x:c r="A677" s="50" t="str">
        <x:v>Bellegarde-sur-Valserine</x:v>
      </x:c>
      <x:c r="B677" s="50" t="str">
        <x:v>Genève</x:v>
      </x:c>
      <x:c r="C677" s="51" t="n">
        <x:v>42</x:v>
      </x:c>
      <x:c r="D677" s="50" t="str">
        <x:v>Adulte</x:v>
      </x:c>
      <x:c r="E677" s="50" t="str">
        <x:v>Carte Familles Nombreuses (-40 %)</x:v>
      </x:c>
      <x:c r="F677" s="52" t="n">
        <x:v>4.5</x:v>
      </x:c>
      <x:c r="G677" s="52" t="n">
        <x:v>8.2</x:v>
      </x:c>
      <x:c r="H677" s="60" t="n">
        <x:f>G677-F677</x:f>
        <x:v>3.6999999999999993</x:v>
      </x:c>
      <x:c r="I677" s="50" t="str">
        <x:v>adult-famille-nombreuse-40</x:v>
      </x:c>
      <x:c r="J677" s="50" t="str">
        <x:v>bellegarde-sur-valserine|geneve</x:v>
      </x:c>
    </x:row>
    <x:row r="678">
      <x:c r="A678" s="50" t="str">
        <x:v>Bellegarde-sur-Valserine</x:v>
      </x:c>
      <x:c r="B678" s="50" t="str">
        <x:v>Genève</x:v>
      </x:c>
      <x:c r="C678" s="51" t="n">
        <x:v>42</x:v>
      </x:c>
      <x:c r="D678" s="50" t="str">
        <x:v>Adulte</x:v>
      </x:c>
      <x:c r="E678" s="50" t="str">
        <x:v>Carte Familles Nombreuses (-50 %)</x:v>
      </x:c>
      <x:c r="F678" s="52" t="n">
        <x:v>3.7</x:v>
      </x:c>
      <x:c r="G678" s="52" t="n">
        <x:v>7.4</x:v>
      </x:c>
      <x:c r="H678" s="60" t="n">
        <x:f>G678-F678</x:f>
        <x:v>3.7</x:v>
      </x:c>
      <x:c r="I678" s="50" t="str">
        <x:v>adult-famille-nombreuse-50</x:v>
      </x:c>
      <x:c r="J678" s="50" t="str">
        <x:v>bellegarde-sur-valserine|geneve</x:v>
      </x:c>
    </x:row>
    <x:row r="679">
      <x:c r="A679" s="50" t="str">
        <x:v>Bellegarde-sur-Valserine</x:v>
      </x:c>
      <x:c r="B679" s="50" t="str">
        <x:v>Genève</x:v>
      </x:c>
      <x:c r="C679" s="51" t="n">
        <x:v>42</x:v>
      </x:c>
      <x:c r="D679" s="50" t="str">
        <x:v>Adulte</x:v>
      </x:c>
      <x:c r="E679" s="50" t="str">
        <x:v>Carte Familles Nombreuses (-75 %)</x:v>
      </x:c>
      <x:c r="F679" s="52" t="n">
        <x:v>1.9</x:v>
      </x:c>
      <x:c r="G679" s="52" t="n">
        <x:v>5.6</x:v>
      </x:c>
      <x:c r="H679" s="60" t="n">
        <x:f>G679-F679</x:f>
        <x:v>3.6999999999999997</x:v>
      </x:c>
      <x:c r="I679" s="50" t="str">
        <x:v>adult-famille-nombreuse-75</x:v>
      </x:c>
      <x:c r="J679" s="50" t="str">
        <x:v>bellegarde-sur-valserine|geneve</x:v>
      </x:c>
    </x:row>
    <x:row r="680">
      <x:c r="A680" s="50" t="str">
        <x:v>Bellegarde-sur-Valserine</x:v>
      </x:c>
      <x:c r="B680" s="50" t="str">
        <x:v>Genève</x:v>
      </x:c>
      <x:c r="C680" s="51" t="n">
        <x:v>42</x:v>
      </x:c>
      <x:c r="D680" s="50" t="str">
        <x:v>Adulte</x:v>
      </x:c>
      <x:c r="E680" s="50" t="str">
        <x:v>Carte Militaire (-75 %)</x:v>
      </x:c>
      <x:c r="F680" s="52" t="n">
        <x:v>1.9</x:v>
      </x:c>
      <x:c r="G680" s="52" t="n">
        <x:v>5.6</x:v>
      </x:c>
      <x:c r="H680" s="60" t="n">
        <x:f>G680-F680</x:f>
        <x:v>3.6999999999999997</x:v>
      </x:c>
      <x:c r="I680" s="50" t="str">
        <x:v>adult-military</x:v>
      </x:c>
      <x:c r="J680" s="50" t="str">
        <x:v>bellegarde-sur-valserine|geneve</x:v>
      </x:c>
    </x:row>
    <x:row r="681">
      <x:c r="A681" s="50" t="str">
        <x:v>Bellegarde-sur-Valserine</x:v>
      </x:c>
      <x:c r="B681" s="50" t="str">
        <x:v>Genève</x:v>
      </x:c>
      <x:c r="C681" s="51" t="n">
        <x:v>42</x:v>
      </x:c>
      <x:c r="D681" s="50" t="str">
        <x:v>Adulte</x:v>
      </x:c>
      <x:c r="E681" s="50" t="str">
        <x:v>Carte Famille Militaire (-40 %)</x:v>
      </x:c>
      <x:c r="F681" s="52" t="n">
        <x:v>5.4</x:v>
      </x:c>
      <x:c r="G681" s="52" t="n">
        <x:v>8.3</x:v>
      </x:c>
      <x:c r="H681" s="60" t="n">
        <x:f>G681-F681</x:f>
        <x:v>2.9000000000000004</x:v>
      </x:c>
      <x:c r="I681" s="50" t="str">
        <x:v>adult-family-military</x:v>
      </x:c>
      <x:c r="J681" s="50" t="str">
        <x:v>bellegarde-sur-valserine|geneve</x:v>
      </x:c>
    </x:row>
    <x:row r="682">
      <x:c r="A682" s="50" t="str">
        <x:v>Bellegarde-sur-Valserine</x:v>
      </x:c>
      <x:c r="B682" s="50" t="str">
        <x:v>Genève</x:v>
      </x:c>
      <x:c r="C682" s="51" t="n">
        <x:v>42</x:v>
      </x:c>
      <x:c r="D682" s="50" t="str">
        <x:v>Enfant 4–11 ans</x:v>
      </x:c>
      <x:c r="E682" s="50" t="str">
        <x:v>Aucune — Tarif Enfant 4–11 ans</x:v>
      </x:c>
      <x:c r="F682" s="52" t="n">
        <x:v>4.5</x:v>
      </x:c>
      <x:c r="G682" s="52" t="n">
        <x:v>6.9</x:v>
      </x:c>
      <x:c r="H682" s="60" t="n">
        <x:f>G682-F682</x:f>
        <x:v>2.4000000000000004</x:v>
      </x:c>
      <x:c r="I682" s="50" t="str">
        <x:v>child-none</x:v>
      </x:c>
      <x:c r="J682" s="50" t="str">
        <x:v>bellegarde-sur-valserine|geneve</x:v>
      </x:c>
    </x:row>
    <x:row r="683">
      <x:c r="A683" s="50" t="str">
        <x:v>Bellegarde-sur-Valserine</x:v>
      </x:c>
      <x:c r="B683" s="50" t="str">
        <x:v>Genève</x:v>
      </x:c>
      <x:c r="C683" s="51" t="n">
        <x:v>42</x:v>
      </x:c>
      <x:c r="D683" s="50" t="str">
        <x:v>Enfant 4–11 ans</x:v>
      </x:c>
      <x:c r="E683" s="50" t="str">
        <x:v>illico LIBERTÉ — Accompagnant, Week-end / Jour férié</x:v>
      </x:c>
      <x:c r="F683" s="52" t="n">
        <x:v>2.3</x:v>
      </x:c>
      <x:c r="G683" s="52" t="n">
        <x:v>3.5</x:v>
      </x:c>
      <x:c r="H683" s="60" t="n">
        <x:f>G683-F683</x:f>
        <x:v>1.2000000000000002</x:v>
      </x:c>
      <x:c r="I683" s="50" t="str">
        <x:v>child-illico-liberte-weekend-companion</x:v>
      </x:c>
      <x:c r="J683" s="50" t="str">
        <x:v>bellegarde-sur-valserine|geneve</x:v>
      </x:c>
    </x:row>
    <x:row r="684">
      <x:c r="A684" s="50" t="str">
        <x:v>Bellegarde-sur-Valserine</x:v>
      </x:c>
      <x:c r="B684" s="50" t="str">
        <x:v>Genève</x:v>
      </x:c>
      <x:c r="C684" s="51" t="n">
        <x:v>42</x:v>
      </x:c>
      <x:c r="D684" s="50" t="str">
        <x:v>Enfant 4–11 ans</x:v>
      </x:c>
      <x:c r="E684" s="50" t="str">
        <x:v>Carte Famille Militaire</x:v>
      </x:c>
      <x:c r="F684" s="52" t="n">
        <x:v>2.7</x:v>
      </x:c>
      <x:c r="G684" s="52" t="n">
        <x:v>4.2</x:v>
      </x:c>
      <x:c r="H684" s="60" t="n">
        <x:f>G684-F684</x:f>
        <x:v>1.5</x:v>
      </x:c>
      <x:c r="I684" s="50" t="str">
        <x:v>child-family-military</x:v>
      </x:c>
      <x:c r="J684" s="50" t="str">
        <x:v>bellegarde-sur-valserine|geneve</x:v>
      </x:c>
    </x:row>
    <x:row r="685">
      <x:c r="A685" s="50" t="str">
        <x:v>Bellegarde-sur-Valserine</x:v>
      </x:c>
      <x:c r="B685" s="50" t="str">
        <x:v>Genève</x:v>
      </x:c>
      <x:c r="C685" s="51" t="n">
        <x:v>42</x:v>
      </x:c>
      <x:c r="D685" s="50" t="str">
        <x:v>Enfant 4–11 ans</x:v>
      </x:c>
      <x:c r="E685" s="50" t="str">
        <x:v>Carte Familles Nombreuses (-30 %)</x:v>
      </x:c>
      <x:c r="F685" s="52" t="n">
        <x:v>2.6</x:v>
      </x:c>
      <x:c r="G685" s="52" t="n">
        <x:v>4.5</x:v>
      </x:c>
      <x:c r="H685" s="60" t="n">
        <x:f>G685-F685</x:f>
        <x:v>1.9</x:v>
      </x:c>
      <x:c r="I685" s="50" t="str">
        <x:v>child-famille-nombreuse-30</x:v>
      </x:c>
      <x:c r="J685" s="50" t="str">
        <x:v>bellegarde-sur-valserine|geneve</x:v>
      </x:c>
    </x:row>
    <x:row r="686">
      <x:c r="A686" s="50" t="str">
        <x:v>Bellegarde-sur-Valserine</x:v>
      </x:c>
      <x:c r="B686" s="50" t="str">
        <x:v>Genève</x:v>
      </x:c>
      <x:c r="C686" s="51" t="n">
        <x:v>42</x:v>
      </x:c>
      <x:c r="D686" s="50" t="str">
        <x:v>Enfant 4–11 ans</x:v>
      </x:c>
      <x:c r="E686" s="50" t="str">
        <x:v>Carte Familles Nombreuses (-40 %)</x:v>
      </x:c>
      <x:c r="F686" s="52" t="n">
        <x:v>2.3</x:v>
      </x:c>
      <x:c r="G686" s="52" t="n">
        <x:v>4.1</x:v>
      </x:c>
      <x:c r="H686" s="60" t="n">
        <x:f>G686-F686</x:f>
        <x:v>1.7999999999999998</x:v>
      </x:c>
      <x:c r="I686" s="50" t="str">
        <x:v>child-famille-nombreuse-40</x:v>
      </x:c>
      <x:c r="J686" s="50" t="str">
        <x:v>bellegarde-sur-valserine|geneve</x:v>
      </x:c>
    </x:row>
    <x:row r="687">
      <x:c r="A687" s="50" t="str">
        <x:v>Bellegarde-sur-Valserine</x:v>
      </x:c>
      <x:c r="B687" s="50" t="str">
        <x:v>Genève</x:v>
      </x:c>
      <x:c r="C687" s="51" t="n">
        <x:v>42</x:v>
      </x:c>
      <x:c r="D687" s="50" t="str">
        <x:v>Enfant 4–11 ans</x:v>
      </x:c>
      <x:c r="E687" s="50" t="str">
        <x:v>Carte Familles Nombreuses (-50 %)</x:v>
      </x:c>
      <x:c r="F687" s="52" t="n">
        <x:v>1.9</x:v>
      </x:c>
      <x:c r="G687" s="52" t="n">
        <x:v>3.7</x:v>
      </x:c>
      <x:c r="H687" s="60" t="n">
        <x:f>G687-F687</x:f>
        <x:v>1.8000000000000003</x:v>
      </x:c>
      <x:c r="I687" s="50" t="str">
        <x:v>child-famille-nombreuse-50</x:v>
      </x:c>
      <x:c r="J687" s="50" t="str">
        <x:v>bellegarde-sur-valserine|geneve</x:v>
      </x:c>
    </x:row>
    <x:row r="688">
      <x:c r="A688" s="53" t="str">
        <x:v>Bellegarde-sur-Valserine</x:v>
      </x:c>
      <x:c r="B688" s="53" t="str">
        <x:v>Genève</x:v>
      </x:c>
      <x:c r="C688" s="54" t="n">
        <x:v>42</x:v>
      </x:c>
      <x:c r="D688" s="53" t="str">
        <x:v>Enfant 4–11 ans</x:v>
      </x:c>
      <x:c r="E688" s="53" t="str">
        <x:v>Carte Familles Nombreuses (-75 %)</x:v>
      </x:c>
      <x:c r="F688" s="55" t="n">
        <x:v>1.2</x:v>
      </x:c>
      <x:c r="G688" s="55" t="n">
        <x:v>2.8</x:v>
      </x:c>
      <x:c r="H688" s="61" t="n">
        <x:f>G688-F688</x:f>
        <x:v>1.5999999999999999</x:v>
      </x:c>
      <x:c r="I688" s="53" t="str">
        <x:v>child-famille-nombreuse-75</x:v>
      </x:c>
      <x:c r="J688" s="53" t="str">
        <x:v>bellegarde-sur-valserine|geneve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70e79b8d8758471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19" hidden="0" customWidth="1"/>
    <x:col min="3" max="3" width="55" hidden="0" customWidth="1"/>
    <x:col min="4" max="4" width="54" hidden="0" customWidth="1"/>
    <x:col min="5" max="5" width="66" hidden="0" customWidth="1"/>
  </x:cols>
  <x:sheetData>
    <x:row r="1" ht="32" customHeight="1">
      <x:c r="A1" s="3" t="str">
        <x:v>Profils tarifaires disponibles</x:v>
      </x:c>
      <x:c r="B1" s="3" t="str">
        <x:v>Profils tarifaires disponibles</x:v>
      </x:c>
      <x:c r="C1" s="3" t="str">
        <x:v>Profils tarifaires disponibles</x:v>
      </x:c>
      <x:c r="D1" s="3" t="str">
        <x:v>Profils tarifaires disponibles</x:v>
      </x:c>
      <x:c r="E1" s="3" t="str">
        <x:v>Profils tarifaires disponibles</x:v>
      </x:c>
    </x:row>
    <x:row r="2" ht="30" customHeight="1">
      <x:c r="A2" s="7" t="str">
        <x:v>Enfant de 4 à 11 ans inclus</x:v>
      </x:c>
      <x:c r="B2" s="7" t="str">
        <x:v>Enfant de 4 à 11 ans inclus</x:v>
      </x:c>
      <x:c r="C2" s="7" t="str">
        <x:v>Enfant de 4 à 11 ans inclus</x:v>
      </x:c>
      <x:c r="D2" s="7" t="str">
        <x:v>Enfant de 4 à 11 ans inclus</x:v>
      </x:c>
      <x:c r="E2" s="7" t="str">
        <x:v>Enfant de 4 à 11 ans inclus</x:v>
      </x:c>
    </x:row>
    <x:row r="4" ht="30" customHeight="1">
      <x:c r="A4" s="14" t="str">
        <x:v>Identifiant</x:v>
      </x:c>
      <x:c r="B4" s="20" t="str">
        <x:v>Type voyageur</x:v>
      </x:c>
      <x:c r="C4" s="20" t="str">
        <x:v>Libellé</x:v>
      </x:c>
      <x:c r="D4" s="20" t="str">
        <x:v>Message affiché</x:v>
      </x:c>
      <x:c r="E4" s="15" t="str">
        <x:v>Règle / provenance</x:v>
      </x:c>
    </x:row>
    <x:row r="5">
      <x:c r="A5" s="62" t="str">
        <x:v>adult-none</x:v>
      </x:c>
      <x:c r="B5" s="62" t="str">
        <x:v>Adulte</x:v>
      </x:c>
      <x:c r="C5" s="62" t="str">
        <x:v>Aucune — Plein tarif</x:v>
      </x:c>
      <x:c r="D5" s="62" t="str">
        <x:v>Plein tarif adulte appliqué.</x:v>
      </x:c>
      <x:c r="E5" s="62" t="str">
        <x:v>Base adulte 2026 contrôlée</x:v>
      </x:c>
    </x:row>
    <x:row r="6">
      <x:c r="A6" s="63" t="str">
        <x:v>adult-illico-liberte-weekday</x:v>
      </x:c>
      <x:c r="B6" s="63" t="str">
        <x:v>Adulte</x:v>
      </x:c>
      <x:c r="C6" s="63" t="str">
        <x:v>illico LIBERTÉ — Semaine (-25 %)</x:v>
      </x:c>
      <x:c r="D6" s="63" t="str">
        <x:v>Réduction illico LIBERTÉ Semaine appliquée.</x:v>
      </x:c>
      <x:c r="E6" s="63" t="str">
        <x:v>Tarif adulte existant</x:v>
      </x:c>
    </x:row>
    <x:row r="7">
      <x:c r="A7" s="63" t="str">
        <x:v>adult-illico-liberte-weekend</x:v>
      </x:c>
      <x:c r="B7" s="63" t="str">
        <x:v>Adulte</x:v>
      </x:c>
      <x:c r="C7" s="63" t="str">
        <x:v>illico LIBERTÉ — Week-end / Jour férié (-50 %)</x:v>
      </x:c>
      <x:c r="D7" s="63" t="str">
        <x:v>Tarif illico LIBERTÉ Week-end / Jour férié appliqué.</x:v>
      </x:c>
      <x:c r="E7" s="63" t="str">
        <x:v>50 % du tarif normal le week-end et les jours fériés</x:v>
      </x:c>
    </x:row>
    <x:row r="8">
      <x:c r="A8" s="63" t="str">
        <x:v>adult-illico-liberte-weekend-companion</x:v>
      </x:c>
      <x:c r="B8" s="63" t="str">
        <x:v>Adulte</x:v>
      </x:c>
      <x:c r="C8" s="63" t="str">
        <x:v>illico LIBERTÉ — Accompagnant, Week-end / Jour férié (-50 %)</x:v>
      </x:c>
      <x:c r="D8" s="63" t="str">
        <x:v>Tarif accompagnant illico LIBERTÉ Week-end / Jour férié appliqué.</x:v>
      </x:c>
      <x:c r="E8" s="63" t="str">
        <x:v>Même réduction et mêmes montants que le porteur ; jusqu’à 3 accompagnants</x:v>
      </x:c>
    </x:row>
    <x:row r="9">
      <x:c r="A9" s="63" t="str">
        <x:v>adult-illico-jeunes</x:v>
      </x:c>
      <x:c r="B9" s="63" t="str">
        <x:v>Adulte</x:v>
      </x:c>
      <x:c r="C9" s="63" t="str">
        <x:v>illico LIBERTÉ JEUNES (-50 %)</x:v>
      </x:c>
      <x:c r="D9" s="63" t="str">
        <x:v>Réduction illico LIBERTÉ JEUNES appliquée.</x:v>
      </x:c>
      <x:c r="E9" s="63" t="str">
        <x:v>Tarif adulte existant</x:v>
      </x:c>
    </x:row>
    <x:row r="10">
      <x:c r="A10" s="63" t="str">
        <x:v>adult-liberte-nationale</x:v>
      </x:c>
      <x:c r="B10" s="63" t="str">
        <x:v>Adulte</x:v>
      </x:c>
      <x:c r="C10" s="63" t="str">
        <x:v>Carte Liberté SNCF (-25 %)</x:v>
      </x:c>
      <x:c r="D10" s="63" t="str">
        <x:v>Réduction Carte Liberté SNCF appliquée.</x:v>
      </x:c>
      <x:c r="E10" s="63" t="str">
        <x:v>Tarif adulte existant</x:v>
      </x:c>
    </x:row>
    <x:row r="11">
      <x:c r="A11" s="63" t="str">
        <x:v>adult-famille-nombreuse-30</x:v>
      </x:c>
      <x:c r="B11" s="63" t="str">
        <x:v>Adulte</x:v>
      </x:c>
      <x:c r="C11" s="63" t="str">
        <x:v>Carte Familles Nombreuses (-30 %)</x:v>
      </x:c>
      <x:c r="D11" s="63" t="str">
        <x:v>Réduction Familles Nombreuses 30 % appliquée.</x:v>
      </x:c>
      <x:c r="E11" s="63" t="str">
        <x:v>Tarif adulte directement contrôlé</x:v>
      </x:c>
    </x:row>
    <x:row r="12">
      <x:c r="A12" s="63" t="str">
        <x:v>adult-famille-nombreuse-40</x:v>
      </x:c>
      <x:c r="B12" s="63" t="str">
        <x:v>Adulte</x:v>
      </x:c>
      <x:c r="C12" s="63" t="str">
        <x:v>Carte Familles Nombreuses (-40 %)</x:v>
      </x:c>
      <x:c r="D12" s="63" t="str">
        <x:v>Réduction Familles Nombreuses 40 % appliquée.</x:v>
      </x:c>
      <x:c r="E12" s="63" t="str">
        <x:v>Tarif adulte directement contrôlé</x:v>
      </x:c>
    </x:row>
    <x:row r="13">
      <x:c r="A13" s="63" t="str">
        <x:v>adult-famille-nombreuse-50</x:v>
      </x:c>
      <x:c r="B13" s="63" t="str">
        <x:v>Adulte</x:v>
      </x:c>
      <x:c r="C13" s="63" t="str">
        <x:v>Carte Familles Nombreuses (-50 %)</x:v>
      </x:c>
      <x:c r="D13" s="63" t="str">
        <x:v>Réduction Familles Nombreuses 50 % appliquée.</x:v>
      </x:c>
      <x:c r="E13" s="63" t="str">
        <x:v>Tarif adulte directement contrôlé</x:v>
      </x:c>
    </x:row>
    <x:row r="14">
      <x:c r="A14" s="63" t="str">
        <x:v>adult-famille-nombreuse-75</x:v>
      </x:c>
      <x:c r="B14" s="63" t="str">
        <x:v>Adulte</x:v>
      </x:c>
      <x:c r="C14" s="63" t="str">
        <x:v>Carte Familles Nombreuses (-75 %)</x:v>
      </x:c>
      <x:c r="D14" s="63" t="str">
        <x:v>Réduction Familles Nombreuses 75 % appliquée.</x:v>
      </x:c>
      <x:c r="E14" s="63" t="str">
        <x:v>Tarif adulte directement contrôlé</x:v>
      </x:c>
    </x:row>
    <x:row r="15">
      <x:c r="A15" s="63" t="str">
        <x:v>adult-military</x:v>
      </x:c>
      <x:c r="B15" s="63" t="str">
        <x:v>Adulte</x:v>
      </x:c>
      <x:c r="C15" s="63" t="str">
        <x:v>Carte Militaire (-75 %)</x:v>
      </x:c>
      <x:c r="D15" s="63" t="str">
        <x:v>Tarif Carte Militaire appliqué.</x:v>
      </x:c>
      <x:c r="E15" s="63" t="str">
        <x:v>Même assiette et même taux que FN 75 % sur TER ; cartes Militaire 1re et 2de fusionnées</x:v>
      </x:c>
    </x:row>
    <x:row r="16">
      <x:c r="A16" s="63" t="str">
        <x:v>adult-family-military</x:v>
      </x:c>
      <x:c r="B16" s="63" t="str">
        <x:v>Adulte</x:v>
      </x:c>
      <x:c r="C16" s="63" t="str">
        <x:v>Carte Famille Militaire (-40 %)</x:v>
      </x:c>
      <x:c r="D16" s="63" t="str">
        <x:v>Tarif Carte Famille Militaire appliqué.</x:v>
      </x:c>
      <x:c r="E16" s="63" t="str">
        <x:v>60 % du plein tarif, arrondi SNCF au décime supérieur</x:v>
      </x:c>
    </x:row>
    <x:row r="17">
      <x:c r="A17" s="63" t="str">
        <x:v>child-none</x:v>
      </x:c>
      <x:c r="B17" s="63" t="str">
        <x:v>Enfant 4–11 ans</x:v>
      </x:c>
      <x:c r="C17" s="63" t="str">
        <x:v>Aucune — Tarif Enfant 4–11 ans</x:v>
      </x:c>
      <x:c r="D17" s="63" t="str">
        <x:v>Tarif Enfant 4–11 ans appliqué.</x:v>
      </x:c>
      <x:c r="E17" s="63" t="str">
        <x:v>50 % du plein tarif adulte, arrondi SNCF au décime supérieur</x:v>
      </x:c>
    </x:row>
    <x:row r="18">
      <x:c r="A18" s="63" t="str">
        <x:v>child-illico-liberte-weekend-companion</x:v>
      </x:c>
      <x:c r="B18" s="63" t="str">
        <x:v>Enfant 4–11 ans</x:v>
      </x:c>
      <x:c r="C18" s="63" t="str">
        <x:v>illico LIBERTÉ — Accompagnant, Week-end / Jour férié</x:v>
      </x:c>
      <x:c r="D18" s="63" t="str">
        <x:v>Tarif enfant accompagnant illico LIBERTÉ appliqué.</x:v>
      </x:c>
      <x:c r="E18" s="63" t="str">
        <x:v>36 relations contrôlées dans SNCF Connect avec le profil régional Accompagnant</x:v>
      </x:c>
    </x:row>
    <x:row r="19">
      <x:c r="A19" s="63" t="str">
        <x:v>child-family-military</x:v>
      </x:c>
      <x:c r="B19" s="63" t="str">
        <x:v>Enfant 4–11 ans</x:v>
      </x:c>
      <x:c r="C19" s="63" t="str">
        <x:v>Carte Famille Militaire</x:v>
      </x:c>
      <x:c r="D19" s="63" t="str">
        <x:v>Tarif enfant avec Carte Famille Militaire appliqué.</x:v>
      </x:c>
      <x:c r="E19" s="63" t="str">
        <x:v>50 % du tarif adulte Famille Militaire, plancher 1,20 €</x:v>
      </x:c>
    </x:row>
    <x:row r="20">
      <x:c r="A20" s="63" t="str">
        <x:v>child-famille-nombreuse-30</x:v>
      </x:c>
      <x:c r="B20" s="63" t="str">
        <x:v>Enfant 4–11 ans</x:v>
      </x:c>
      <x:c r="C20" s="63" t="str">
        <x:v>Carte Familles Nombreuses (-30 %)</x:v>
      </x:c>
      <x:c r="D20" s="63" t="str">
        <x:v>Tarif enfant Familles Nombreuses 30 % appliqué.</x:v>
      </x:c>
      <x:c r="E20" s="63" t="str">
        <x:v>50 % du tarif adulte correspondant, arrondi SNCF et plancher 1,20 €</x:v>
      </x:c>
    </x:row>
    <x:row r="21">
      <x:c r="A21" s="63" t="str">
        <x:v>child-famille-nombreuse-40</x:v>
      </x:c>
      <x:c r="B21" s="63" t="str">
        <x:v>Enfant 4–11 ans</x:v>
      </x:c>
      <x:c r="C21" s="63" t="str">
        <x:v>Carte Familles Nombreuses (-40 %)</x:v>
      </x:c>
      <x:c r="D21" s="63" t="str">
        <x:v>Tarif enfant Familles Nombreuses 40 % appliqué.</x:v>
      </x:c>
      <x:c r="E21" s="63" t="str">
        <x:v>50 % du tarif adulte correspondant, arrondi SNCF et plancher 1,20 €</x:v>
      </x:c>
    </x:row>
    <x:row r="22">
      <x:c r="A22" s="63" t="str">
        <x:v>child-famille-nombreuse-50</x:v>
      </x:c>
      <x:c r="B22" s="63" t="str">
        <x:v>Enfant 4–11 ans</x:v>
      </x:c>
      <x:c r="C22" s="63" t="str">
        <x:v>Carte Familles Nombreuses (-50 %)</x:v>
      </x:c>
      <x:c r="D22" s="63" t="str">
        <x:v>Tarif enfant Familles Nombreuses 50 % appliqué.</x:v>
      </x:c>
      <x:c r="E22" s="63" t="str">
        <x:v>50 % du tarif adulte correspondant, arrondi SNCF et plancher 1,20 €</x:v>
      </x:c>
    </x:row>
    <x:row r="23">
      <x:c r="A23" s="64" t="str">
        <x:v>child-famille-nombreuse-75</x:v>
      </x:c>
      <x:c r="B23" s="64" t="str">
        <x:v>Enfant 4–11 ans</x:v>
      </x:c>
      <x:c r="C23" s="64" t="str">
        <x:v>Carte Familles Nombreuses (-75 %)</x:v>
      </x:c>
      <x:c r="D23" s="64" t="str">
        <x:v>Tarif enfant Familles Nombreuses 75 % appliqué.</x:v>
      </x:c>
      <x:c r="E23" s="64" t="str">
        <x:v>50 % du tarif adulte correspondant, arrondi SNCF et plancher 1,20 €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38" hidden="0" customWidth="1"/>
  </x:cols>
  <x:sheetData>
    <x:row r="1" ht="32" customHeight="1">
      <x:c r="A1" s="3" t="str">
        <x:v>Gares de l’axe Lyon Part-Dieu ↔ Genève</x:v>
      </x:c>
      <x:c r="B1" s="3" t="str">
        <x:v>Gares de l’axe Lyon Part-Dieu ↔ Genève</x:v>
      </x:c>
      <x:c r="C1" s="3" t="str">
        <x:v>Gares de l’axe Lyon Part-Dieu ↔ Genève</x:v>
      </x:c>
    </x:row>
    <x:row r="2" ht="30" customHeight="1">
      <x:c r="A2" s="7" t="str">
        <x:v>Les mêmes montants s’appliquent dans les deux sens.</x:v>
      </x:c>
      <x:c r="B2" s="7" t="str">
        <x:v>Les mêmes montants s’appliquent dans les deux sens.</x:v>
      </x:c>
      <x:c r="C2" s="7" t="str">
        <x:v>Les mêmes montants s’appliquent dans les deux sens.</x:v>
      </x:c>
    </x:row>
    <x:row r="4" ht="30" customHeight="1">
      <x:c r="A4" s="14" t="str">
        <x:v>Ordre</x:v>
      </x:c>
      <x:c r="B4" s="20" t="str">
        <x:v>Identifiant</x:v>
      </x:c>
      <x:c r="C4" s="15" t="str">
        <x:v>Nom affiché</x:v>
      </x:c>
    </x:row>
    <x:row r="5">
      <x:c r="A5" s="16" t="n">
        <x:v>1</x:v>
      </x:c>
      <x:c r="B5" s="16" t="str">
        <x:v>lyon-part-dieu</x:v>
      </x:c>
      <x:c r="C5" s="16" t="str">
        <x:v>Lyon Part-Dieu</x:v>
      </x:c>
    </x:row>
    <x:row r="6">
      <x:c r="A6" s="17" t="n">
        <x:v>2</x:v>
      </x:c>
      <x:c r="B6" s="17" t="str">
        <x:v>meximieux-perouges</x:v>
      </x:c>
      <x:c r="C6" s="17" t="str">
        <x:v>Meximieux – Pérouges</x:v>
      </x:c>
    </x:row>
    <x:row r="7">
      <x:c r="A7" s="17" t="n">
        <x:v>3</x:v>
      </x:c>
      <x:c r="B7" s="17" t="str">
        <x:v>amberieu-en-bugey</x:v>
      </x:c>
      <x:c r="C7" s="17" t="str">
        <x:v>Ambérieu-en-Bugey</x:v>
      </x:c>
    </x:row>
    <x:row r="8">
      <x:c r="A8" s="17" t="n">
        <x:v>4</x:v>
      </x:c>
      <x:c r="B8" s="17" t="str">
        <x:v>tenay-hauteville</x:v>
      </x:c>
      <x:c r="C8" s="17" t="str">
        <x:v>Tenay-Hauteville</x:v>
      </x:c>
    </x:row>
    <x:row r="9">
      <x:c r="A9" s="17" t="n">
        <x:v>5</x:v>
      </x:c>
      <x:c r="B9" s="17" t="str">
        <x:v>virieu-le-grand-belley</x:v>
      </x:c>
      <x:c r="C9" s="17" t="str">
        <x:v>Virieu-le-Grand – Belley</x:v>
      </x:c>
    </x:row>
    <x:row r="10">
      <x:c r="A10" s="17" t="n">
        <x:v>6</x:v>
      </x:c>
      <x:c r="B10" s="17" t="str">
        <x:v>culoz</x:v>
      </x:c>
      <x:c r="C10" s="17" t="str">
        <x:v>Culoz</x:v>
      </x:c>
    </x:row>
    <x:row r="11">
      <x:c r="A11" s="17" t="n">
        <x:v>7</x:v>
      </x:c>
      <x:c r="B11" s="17" t="str">
        <x:v>seyssel-corbonod</x:v>
      </x:c>
      <x:c r="C11" s="17" t="str">
        <x:v>Seyssel – Corbonod</x:v>
      </x:c>
    </x:row>
    <x:row r="12">
      <x:c r="A12" s="17" t="n">
        <x:v>8</x:v>
      </x:c>
      <x:c r="B12" s="17" t="str">
        <x:v>bellegarde-sur-valserine</x:v>
      </x:c>
      <x:c r="C12" s="17" t="str">
        <x:v>Bellegarde-sur-Valserine</x:v>
      </x:c>
    </x:row>
    <x:row r="13">
      <x:c r="A13" s="65" t="n">
        <x:v>9</x:v>
      </x:c>
      <x:c r="B13" s="65" t="str">
        <x:v>geneve</x:v>
      </x:c>
      <x:c r="C13" s="65" t="str">
        <x:v>Genève</x:v>
      </x:c>
    </x:row>
  </x:sheetData>
  <x:mergeCells>
    <x:mergeCell ref="A1:C1"/>
    <x:mergeCell ref="A2:C2"/>
  </x:mergeCells>
  <x:pageMargins left="0.7" right="0.7" top="0.75" bottom="0.75" header="0.3" footer="0.3"/>
</x:worksheet>
</file>